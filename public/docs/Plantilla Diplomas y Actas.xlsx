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25" documentId="13_ncr:1_{55E450A5-3F29-479B-BBE3-EF75DD352F66}" xr6:coauthVersionLast="47" xr6:coauthVersionMax="47" xr10:uidLastSave="{393729D5-BCD5-400A-99AE-B453EF3DA403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<sst xmlns="http://schemas.openxmlformats.org/spreadsheetml/2006/main" count="409" uniqueCount="331">
  <si>
    <t>Obligatorio</t>
  </si>
  <si>
    <t>Opcional</t>
  </si>
  <si>
    <t>Opciona
Indicativo país (+XX) XXXXX</t>
  </si>
  <si>
    <t>Obligatorio2</t>
  </si>
  <si>
    <t>Opcional3</t>
  </si>
  <si>
    <t>Opcional4</t>
  </si>
  <si>
    <t>Opcional5</t>
  </si>
  <si>
    <t>Opcional6</t>
  </si>
  <si>
    <t>Opcional7</t>
  </si>
  <si>
    <t>Opcional8</t>
  </si>
  <si>
    <t>Opcional9</t>
  </si>
  <si>
    <t>Opcional10</t>
  </si>
  <si>
    <t>Opcional11</t>
  </si>
  <si>
    <t>Opcional12</t>
  </si>
  <si>
    <t>Opcional
Documento identidad formateado</t>
  </si>
  <si>
    <t>Opcional
Lugar Expedición Documento</t>
  </si>
  <si>
    <t>Opcional
Titulo</t>
  </si>
  <si>
    <t>Opcional
Programa</t>
  </si>
  <si>
    <t>Opcional
Programa Código y fecha</t>
  </si>
  <si>
    <t>Opcional
Día Firma</t>
  </si>
  <si>
    <t>Opcional
Nombre Firmante 1</t>
  </si>
  <si>
    <t>Opcional
Nombre Firmante 2</t>
  </si>
  <si>
    <t>Opcional
Nombre firmante 3</t>
  </si>
  <si>
    <t>Opcional
Numero Libro</t>
  </si>
  <si>
    <t>Opcional
Numero Folio</t>
  </si>
  <si>
    <t>Opcional
Numero Registro</t>
  </si>
  <si>
    <t>Opcional
Numero Acta</t>
  </si>
  <si>
    <t>Opcional
Fecha de Emision</t>
  </si>
  <si>
    <t>Opcional
Contralmirante Ceremonia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</si>
  <si>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</si>
  <si>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</si>
  <si>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</si>
  <si>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</si>
  <si>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</si>
  <si>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</si>
  <si>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</si>
  <si>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</si>
  <si>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</si>
  <si>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</si>
  <si>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</si>
  <si>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</si>
  <si>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</si>
  <si>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</si>
  <si>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docformato</t>
  </si>
  <si>
    <t>lugarexpi</t>
  </si>
  <si>
    <t>titulo</t>
  </si>
  <si>
    <t>programa</t>
  </si>
  <si>
    <t>fechagrado</t>
  </si>
  <si>
    <t>nomfirma1</t>
  </si>
  <si>
    <t>nomfirma2</t>
  </si>
  <si>
    <t>nomfirma3</t>
  </si>
  <si>
    <t>li</t>
  </si>
  <si>
    <t>fo</t>
  </si>
  <si>
    <t>numre</t>
  </si>
  <si>
    <t>ndi</t>
  </si>
  <si>
    <t>fechaemite</t>
  </si>
  <si>
    <t>calceremonia</t>
  </si>
  <si>
    <t>Colombia - Cédula de ciudadanía</t>
  </si>
  <si>
    <t>Ciencias Navales para Oficiales de Infantería de Marina</t>
  </si>
  <si>
    <t>Countries Documents</t>
  </si>
  <si>
    <t>Gender</t>
  </si>
  <si>
    <t>cargo firmante</t>
  </si>
  <si>
    <t>título</t>
  </si>
  <si>
    <t>Programa</t>
  </si>
  <si>
    <t>ID</t>
  </si>
  <si>
    <t>Albania - id</t>
  </si>
  <si>
    <t>M</t>
  </si>
  <si>
    <t>cédula de ciudadanía</t>
  </si>
  <si>
    <t>Secretario Académico</t>
  </si>
  <si>
    <t>9488 del 15 de diciembre de 1999</t>
  </si>
  <si>
    <t>Profesional en Ciencias Navales</t>
  </si>
  <si>
    <t>Ciencias Navales para Oficiales Navales</t>
  </si>
  <si>
    <t>pasaporte</t>
  </si>
  <si>
    <t>Albania - Passport</t>
  </si>
  <si>
    <t>F</t>
  </si>
  <si>
    <t>Decano Académico</t>
  </si>
  <si>
    <t>9487 del 15 de diciembre de 1999</t>
  </si>
  <si>
    <t>Algeria - id</t>
  </si>
  <si>
    <t>tarjeta de identidad</t>
  </si>
  <si>
    <t>Director</t>
  </si>
  <si>
    <t>9486 del 15 de diciembre de 1999</t>
  </si>
  <si>
    <t>Profesional en Ciencias Náuticas Especialidad Puente</t>
  </si>
  <si>
    <t>Ciencias Náuticas para Oficiales Mercantes</t>
  </si>
  <si>
    <t>Algeria - Passport</t>
  </si>
  <si>
    <t>109800 del 24 de mayo de 2019</t>
  </si>
  <si>
    <t>Profesional en Ciencias Náuticas Especialidad Máquinas</t>
  </si>
  <si>
    <t>Ciencias Náuticas para Oficiales Mercantes de Máquinas</t>
  </si>
  <si>
    <t>Argentina - CUIL</t>
  </si>
  <si>
    <t>4057 del 21 de marzo de 1998</t>
  </si>
  <si>
    <t>Administrador</t>
  </si>
  <si>
    <t>Administración</t>
  </si>
  <si>
    <t>Argentina - CUIT</t>
  </si>
  <si>
    <t>354 del 21 de marzo de 1998</t>
  </si>
  <si>
    <t>Administrador Marítimo</t>
  </si>
  <si>
    <t>Administración Marítima</t>
  </si>
  <si>
    <t>Argentina - DNI</t>
  </si>
  <si>
    <t>358 del 21 de marzo de 1998</t>
  </si>
  <si>
    <t>Oceanógrafo Físico</t>
  </si>
  <si>
    <t>Oceanografía Física</t>
  </si>
  <si>
    <t>Argentina - Pasaporte</t>
  </si>
  <si>
    <t>mes</t>
  </si>
  <si>
    <t>102036 del 1 de noviembre de 2012</t>
  </si>
  <si>
    <t>Ingeniero Naval</t>
  </si>
  <si>
    <t>Ingeniería Naval</t>
  </si>
  <si>
    <t>Australia - ABN</t>
  </si>
  <si>
    <t>enero</t>
  </si>
  <si>
    <t>102417 del 25 de abril de 2013</t>
  </si>
  <si>
    <t>Ingeniero Electrónico</t>
  </si>
  <si>
    <t>Ingeniería Electrónica</t>
  </si>
  <si>
    <t>Australia - Passport</t>
  </si>
  <si>
    <t>febrero</t>
  </si>
  <si>
    <t>10814 del 17 de octubre de 2000</t>
  </si>
  <si>
    <t>Especialista en Logística</t>
  </si>
  <si>
    <t>Especialización en Logística</t>
  </si>
  <si>
    <t>Austria - id</t>
  </si>
  <si>
    <t>marzo</t>
  </si>
  <si>
    <t>51609 del 21 de junio de 2005</t>
  </si>
  <si>
    <t>Especialista en Política y Estrategia Marítima</t>
  </si>
  <si>
    <t>Especialización en Política y Estrategia Marítima</t>
  </si>
  <si>
    <t>Austria - Passport</t>
  </si>
  <si>
    <t>abril</t>
  </si>
  <si>
    <t>51779 del 2 de diciembre de 2005</t>
  </si>
  <si>
    <t>Magíster en Gestión Logística</t>
  </si>
  <si>
    <t>Maestría en Gestión Logística</t>
  </si>
  <si>
    <t>Belgium - id</t>
  </si>
  <si>
    <t>mayo</t>
  </si>
  <si>
    <t>21547 del 27 de abril de 2005</t>
  </si>
  <si>
    <t>Magíster en Oceanografía</t>
  </si>
  <si>
    <t>Maestría en Oceanografía</t>
  </si>
  <si>
    <t>Belgium - Passport</t>
  </si>
  <si>
    <t>junio</t>
  </si>
  <si>
    <t>91478 del 24 de agosto de 2011</t>
  </si>
  <si>
    <t>Magíster en Ingeniería Naval</t>
  </si>
  <si>
    <t>Maestría en Ingeniería Naval</t>
  </si>
  <si>
    <t>Bolivia - ID</t>
  </si>
  <si>
    <t>julio</t>
  </si>
  <si>
    <t>90528 del 6 de diciembre de 2023</t>
  </si>
  <si>
    <t>Doctor en Ciencias del Mar</t>
  </si>
  <si>
    <t>Doctorado en Ciencias del Mar</t>
  </si>
  <si>
    <t>Bolivia - Pasaporte</t>
  </si>
  <si>
    <t>agosto</t>
  </si>
  <si>
    <t>355 del 21 de marzo de 1998</t>
  </si>
  <si>
    <t>Ingeniero Naval - Especialidad Construcciones</t>
  </si>
  <si>
    <t>Ingeniería Naval - Especialidad Construcciones</t>
  </si>
  <si>
    <t>Brasil - CPF</t>
  </si>
  <si>
    <t>septiembre</t>
  </si>
  <si>
    <t>356 del 21 de marzo de 1998</t>
  </si>
  <si>
    <t>Ingeniero Naval - Especialidad Electrónica</t>
  </si>
  <si>
    <t>Ingeniería Naval - Especialidad Electrónica</t>
  </si>
  <si>
    <t>Brasil - Passport</t>
  </si>
  <si>
    <t>octubre</t>
  </si>
  <si>
    <t>357 del 21 de marzo de 1998</t>
  </si>
  <si>
    <t>Ingeniero Naval - Especialidad Mecánica</t>
  </si>
  <si>
    <t>Ingeniería Naval - Especialidad Mecánica</t>
  </si>
  <si>
    <t>Brasil - RG</t>
  </si>
  <si>
    <t>noviembre</t>
  </si>
  <si>
    <t>Bulgaria - id</t>
  </si>
  <si>
    <t>diciembre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</si>
  <si>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</si>
  <si>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</si>
  <si>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</si>
  <si>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</si>
  <si>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</si>
  <si>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</si>
  <si>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</si>
  <si>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</si>
  <si>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</si>
  <si>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</si>
  <si>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</si>
  <si>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</si>
  <si>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</si>
  <si>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</si>
  <si>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</si>
  <si>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</si>
  <si>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</si>
  <si>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Colombia - Permiso por protección temporal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</si>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</sst>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8"/>
      <name val="Calibri"/>
      <family val="2"/>
      <charset val="1"/>
    </font>
    <font>
      <b/>
      <sz val="11"/>
      <color rgb="FF808080"/>
      <name val="Aptos"/>
      <family val="2"/>
    </font>
    <font>
      <b/>
      <sz val="11"/>
      <color theme="1"/>
      <name val="Aptos"/>
      <family val="2"/>
    </font>
    <font>
      <sz val="11"/>
      <color rgb="FF0078D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14999847407452621"/>
      </left>
      <right/>
      <top style="medium">
        <color theme="0" tint="-0.34998626667073579"/>
      </top>
      <bottom/>
      <diagonal/>
    </border>
    <border>
      <left style="thin">
        <color theme="0" tint="-0.14999847407452621"/>
      </left>
      <right/>
      <top style="thin">
        <color theme="4" tint="0.3999755851924192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TÍTULO ACADÉMICO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20833080" y="46482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Secretario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27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1559863" y="548640"/>
          <a:ext cx="2960914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220980</xdr:rowOff>
    </xdr:from>
    <xdr:to>
      <xdr:col>24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792480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8991600" y="466165"/>
          <a:ext cx="149710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(Siglas - 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4081760" y="548640"/>
          <a:ext cx="164592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792480</xdr:colOff>
      <xdr:row>1</xdr:row>
      <xdr:rowOff>220980</xdr:rowOff>
    </xdr:from>
    <xdr:to>
      <xdr:col>27</xdr:col>
      <xdr:colOff>0</xdr:colOff>
      <xdr:row>2</xdr:row>
      <xdr:rowOff>7620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77065C8-5CAA-4E4D-8A13-F5AB63794242}"/>
            </a:ext>
          </a:extLst>
        </xdr:cNvPr>
        <xdr:cNvSpPr txBox="1"/>
      </xdr:nvSpPr>
      <xdr:spPr>
        <a:xfrm>
          <a:off x="33025080" y="769620"/>
          <a:ext cx="739140" cy="23622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ACTA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C551D2DC-D4F0-3DD1-4573-807AA9840584}"/>
            </a:ext>
          </a:extLst>
        </xdr:cNvPr>
        <xdr:cNvSpPr txBox="1"/>
      </xdr:nvSpPr>
      <xdr:spPr>
        <a:xfrm>
          <a:off x="18861741" y="466165"/>
          <a:ext cx="2169459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DE GRADO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(Ejemplo: 26 de marzo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2FF493A8-068B-4E29-AE7C-BDD16C17C3FC}"/>
            </a:ext>
          </a:extLst>
        </xdr:cNvPr>
        <xdr:cNvSpPr txBox="1"/>
      </xdr:nvSpPr>
      <xdr:spPr>
        <a:xfrm>
          <a:off x="14302740" y="464820"/>
          <a:ext cx="22402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CÓDIGO Y FECHA PROGRAMA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27</xdr:col>
      <xdr:colOff>0</xdr:colOff>
      <xdr:row>1</xdr:row>
      <xdr:rowOff>6240</xdr:rowOff>
    </xdr:from>
    <xdr:to>
      <xdr:col>28</xdr:col>
      <xdr:colOff>0</xdr:colOff>
      <xdr:row>1</xdr:row>
      <xdr:rowOff>211980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76FEE637-735E-4460-98F7-0E6F1563D3E2}"/>
            </a:ext>
          </a:extLst>
        </xdr:cNvPr>
        <xdr:cNvSpPr txBox="1"/>
      </xdr:nvSpPr>
      <xdr:spPr>
        <a:xfrm>
          <a:off x="18781059" y="472405"/>
          <a:ext cx="2187388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GRADO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27</xdr:col>
      <xdr:colOff>0</xdr:colOff>
      <xdr:row>1</xdr:row>
      <xdr:rowOff>6239</xdr:rowOff>
    </xdr:from>
    <xdr:to>
      <xdr:col>28</xdr:col>
      <xdr:colOff>0</xdr:colOff>
      <xdr:row>1</xdr:row>
      <xdr:rowOff>448234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E4340A8A-078C-4336-AFC5-30D1BBE52CF2}"/>
            </a:ext>
          </a:extLst>
        </xdr:cNvPr>
        <xdr:cNvSpPr txBox="1"/>
      </xdr:nvSpPr>
      <xdr:spPr>
        <a:xfrm>
          <a:off x="20968447" y="472404"/>
          <a:ext cx="1559859" cy="44199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DE EMISIÓN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26 de marzo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28</xdr:col>
      <xdr:colOff>0</xdr:colOff>
      <xdr:row>1</xdr:row>
      <xdr:rowOff>6240</xdr:rowOff>
    </xdr:from>
    <xdr:to>
      <xdr:col>29</xdr:col>
      <xdr:colOff>0</xdr:colOff>
      <xdr:row>1</xdr:row>
      <xdr:rowOff>211980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6906C50-2469-47C9-B4AF-AD300B556F6B}"/>
            </a:ext>
          </a:extLst>
        </xdr:cNvPr>
        <xdr:cNvSpPr txBox="1"/>
      </xdr:nvSpPr>
      <xdr:spPr>
        <a:xfrm>
          <a:off x="31286824" y="6240"/>
          <a:ext cx="2052917" cy="2057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GRADO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28</xdr:col>
      <xdr:colOff>0</xdr:colOff>
      <xdr:row>1</xdr:row>
      <xdr:rowOff>6239</xdr:rowOff>
    </xdr:from>
    <xdr:to>
      <xdr:col>29</xdr:col>
      <xdr:colOff>0</xdr:colOff>
      <xdr:row>1</xdr:row>
      <xdr:rowOff>448234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CDA6356-1F72-4116-B154-4215E0513465}"/>
            </a:ext>
          </a:extLst>
        </xdr:cNvPr>
        <xdr:cNvSpPr txBox="1"/>
      </xdr:nvSpPr>
      <xdr:spPr>
        <a:xfrm>
          <a:off x="31286824" y="6239"/>
          <a:ext cx="2052917" cy="44199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 ALMIRANTE DE LA CEREMINIA (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Ejemplo: Contralmirante JOHN HENRY...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258A268-19A1-4AC1-AAD1-DB3BEEDA4004}"/>
            </a:ext>
          </a:extLst>
        </xdr:cNvPr>
        <xdr:cNvSpPr txBox="1"/>
      </xdr:nvSpPr>
      <xdr:spPr>
        <a:xfrm>
          <a:off x="12129247" y="466165"/>
          <a:ext cx="2241177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PROGRAMA ACADÉMICO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C17"/>
  <sheetViews>
    <sheetView showGridLines="0" tabSelected="1" showWhiteSpace="0" zoomScale="85" zoomScaleNormal="85" workbookViewId="0">
      <pane xSplit="2" ySplit="2" topLeftCell="C3" activePane="bottomRight" state="frozen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x14ac:dyDescent="0.3"/>
  <cols>
    <col min="1" max="1" width="21.8984375" style="4" customWidth="1"/>
    <col min="2" max="2" width="22.09765625" style="5" customWidth="1"/>
    <col min="3" max="3" width="24" style="8" customWidth="1"/>
    <col min="4" max="4" width="27.8984375" style="6" customWidth="1"/>
    <col min="5" max="5" width="28.69921875" style="7" customWidth="1"/>
    <col min="6" max="6" width="22.09765625" style="8" customWidth="1"/>
    <col min="7" max="7" width="21.59765625" style="5" hidden="1" customWidth="1"/>
    <col min="8" max="8" width="8.3984375" style="7" hidden="1" customWidth="1"/>
    <col min="9" max="9" width="10.5" style="7" hidden="1" customWidth="1"/>
    <col min="10" max="13" width="8.3984375" style="7" hidden="1" customWidth="1"/>
    <col min="14" max="14" width="13.59765625" style="7" hidden="1" customWidth="1"/>
    <col min="15" max="15" width="19.69921875" style="21" hidden="1" customWidth="1"/>
    <col min="16" max="16" width="21.19921875" style="5" customWidth="1"/>
    <col min="17" max="17" width="13.5" style="5" hidden="1" customWidth="1"/>
    <col min="18" max="18" width="43.3984375" style="5" customWidth="1"/>
    <col min="19" max="19" width="29.59765625" style="5" hidden="1" customWidth="1"/>
    <col min="20" max="20" width="28.5" style="5" customWidth="1"/>
    <col min="21" max="21" width="31.3984375" style="5" customWidth="1"/>
    <col min="22" max="22" width="34" style="5" customWidth="1"/>
    <col min="23" max="23" width="31.3984375" style="5" customWidth="1"/>
    <col min="24" max="24" width="9.69921875" style="10" customWidth="1"/>
    <col min="25" max="26" width="9.69921875" style="11" customWidth="1"/>
    <col min="27" max="27" width="9.69921875" style="9" customWidth="1"/>
    <col min="28" max="28" width="26.8984375" style="13" customWidth="1"/>
    <col min="29" max="29" width="43.19921875" style="12" customWidth="1"/>
    <col min="30" max="16384" width="10.5" style="2"/>
  </cols>
  <sheetData>
    <row r="1" spans="1:29" ht="36.6" hidden="1" customHeight="1" x14ac:dyDescent="0.3">
      <c r="A1" s="22" t="s">
        <v>0</v>
      </c>
      <c r="B1" s="22" t="s">
        <v>1</v>
      </c>
      <c r="C1" s="23" t="s">
        <v>2</v>
      </c>
      <c r="D1" s="22" t="s">
        <v>3</v>
      </c>
      <c r="E1" s="24" t="s">
        <v>4</v>
      </c>
      <c r="F1" s="25" t="s">
        <v>5</v>
      </c>
      <c r="G1" s="22" t="s">
        <v>6</v>
      </c>
      <c r="H1" s="24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7" t="s">
        <v>14</v>
      </c>
      <c r="P1" s="28" t="s">
        <v>15</v>
      </c>
      <c r="Q1" s="27" t="s">
        <v>16</v>
      </c>
      <c r="R1" s="27" t="s">
        <v>17</v>
      </c>
      <c r="S1" s="29" t="s">
        <v>18</v>
      </c>
      <c r="T1" s="29" t="s">
        <v>19</v>
      </c>
      <c r="U1" s="27" t="s">
        <v>20</v>
      </c>
      <c r="V1" s="27" t="s">
        <v>21</v>
      </c>
      <c r="W1" s="27" t="s">
        <v>22</v>
      </c>
      <c r="X1" s="30" t="s">
        <v>23</v>
      </c>
      <c r="Y1" s="31" t="s">
        <v>24</v>
      </c>
      <c r="Z1" s="31" t="s">
        <v>25</v>
      </c>
      <c r="AA1" s="30" t="s">
        <v>26</v>
      </c>
      <c r="AB1" s="29" t="s">
        <v>27</v>
      </c>
      <c r="AC1" s="32" t="s">
        <v>28</v>
      </c>
    </row>
    <row r="2" spans="1:29" ht="35.4" customHeight="1" x14ac:dyDescent="0.3">
      <c r="A2" s="14" t="s">
        <v>29</v>
      </c>
      <c r="B2" s="14" t="s">
        <v>30</v>
      </c>
      <c r="C2" s="15" t="s">
        <v>31</v>
      </c>
      <c r="D2" s="14" t="s">
        <v>32</v>
      </c>
      <c r="E2" s="14" t="s">
        <v>33</v>
      </c>
      <c r="F2" s="16" t="s">
        <v>34</v>
      </c>
      <c r="G2" s="14" t="s">
        <v>35</v>
      </c>
      <c r="H2" s="14" t="s">
        <v>36</v>
      </c>
      <c r="I2" s="17" t="s">
        <v>37</v>
      </c>
      <c r="J2" s="17" t="s">
        <v>38</v>
      </c>
      <c r="K2" s="17" t="s">
        <v>39</v>
      </c>
      <c r="L2" s="17" t="s">
        <v>40</v>
      </c>
      <c r="M2" s="17" t="s">
        <v>41</v>
      </c>
      <c r="N2" s="17" t="s">
        <v>42</v>
      </c>
      <c r="O2" s="14" t="s">
        <v>43</v>
      </c>
      <c r="P2" s="14" t="s">
        <v>44</v>
      </c>
      <c r="Q2" s="14" t="s">
        <v>45</v>
      </c>
      <c r="R2" s="14" t="s">
        <v>46</v>
      </c>
      <c r="S2" s="15" t="s">
        <v>46</v>
      </c>
      <c r="T2" s="15" t="s">
        <v>47</v>
      </c>
      <c r="U2" s="18" t="s">
        <v>48</v>
      </c>
      <c r="V2" s="14" t="s">
        <v>49</v>
      </c>
      <c r="W2" s="18" t="s">
        <v>50</v>
      </c>
      <c r="X2" s="15" t="s">
        <v>51</v>
      </c>
      <c r="Y2" s="19" t="s">
        <v>52</v>
      </c>
      <c r="Z2" s="19" t="s">
        <v>53</v>
      </c>
      <c r="AA2" s="19" t="s">
        <v>54</v>
      </c>
      <c r="AB2" s="15" t="s">
        <v>55</v>
      </c>
      <c r="AC2" s="20" t="s">
        <v>56</v>
      </c>
    </row>
    <row r="3" spans="1:29" ht="16.8" x14ac:dyDescent="0.3">
      <c r="D3" s="33"/>
    </row>
    <row r="4" spans="1:29" x14ac:dyDescent="0.3">
      <c r="E4" s="7" t="str">
        <f>IFERROR(VLOOKUP(O4,Parameters!C:D,2,FALSE),"")</f>
        <v/>
      </c>
      <c r="Q4" s="5" t="str">
        <f>IF(_xlfn.XLOOKUP(People!$R4,Parameters!N:N,Parameters!M:M)=0,"",_xlfn.XLOOKUP(People!$R4,Parameters!N:N,Parameters!M:M))</f>
        <v/>
      </c>
      <c r="S4" s="5" t="str">
        <f>IFERROR(IF(_xlfn.XLOOKUP(R4,Parameters!N:N,Parameters!L:L)=0,"",_xlfn.XLOOKUP(R4,Parameters!N:N,Parameters!L:L)),"")</f>
        <v/>
      </c>
    </row>
    <row r="5" spans="1:29" x14ac:dyDescent="0.3">
      <c r="E5" s="7" t="str">
        <f>IFERROR(VLOOKUP(O5,Parameters!C:D,2,FALSE),"")</f>
        <v/>
      </c>
      <c r="Q5" s="5" t="str">
        <f>IF(_xlfn.XLOOKUP(People!$R5,Parameters!N:N,Parameters!M:M)=0,"",_xlfn.XLOOKUP(People!$R5,Parameters!N:N,Parameters!M:M))</f>
        <v/>
      </c>
      <c r="S5" s="5" t="str">
        <f>IFERROR(IF(_xlfn.XLOOKUP(R5,Parameters!N:N,Parameters!L:L)=0,"",_xlfn.XLOOKUP(R5,Parameters!N:N,Parameters!L:L)),"")</f>
        <v/>
      </c>
    </row>
    <row r="6" spans="1:29" x14ac:dyDescent="0.3">
      <c r="E6" s="7" t="str">
        <f>IFERROR(VLOOKUP(O6,Parameters!C:D,2,FALSE),"")</f>
        <v/>
      </c>
      <c r="Q6" s="5" t="str">
        <f>IF(_xlfn.XLOOKUP(People!$R6,Parameters!N:N,Parameters!M:M)=0,"",_xlfn.XLOOKUP(People!$R6,Parameters!N:N,Parameters!M:M))</f>
        <v/>
      </c>
      <c r="S6" s="5" t="str">
        <f>IFERROR(IF(_xlfn.XLOOKUP(R6,Parameters!N:N,Parameters!L:L)=0,"",_xlfn.XLOOKUP(R6,Parameters!N:N,Parameters!L:L)),"")</f>
        <v/>
      </c>
    </row>
    <row r="7" spans="1:29" x14ac:dyDescent="0.3">
      <c r="E7" s="7" t="str">
        <f>IFERROR(VLOOKUP(O7,Parameters!C:D,2,FALSE),"")</f>
        <v/>
      </c>
      <c r="Q7" s="5" t="str">
        <f>IF(_xlfn.XLOOKUP(People!$R7,Parameters!N:N,Parameters!M:M)=0,"",_xlfn.XLOOKUP(People!$R7,Parameters!N:N,Parameters!M:M))</f>
        <v/>
      </c>
      <c r="S7" s="5" t="str">
        <f>IFERROR(IF(_xlfn.XLOOKUP(R7,Parameters!N:N,Parameters!L:L)=0,"",_xlfn.XLOOKUP(R7,Parameters!N:N,Parameters!L:L)),"")</f>
        <v/>
      </c>
    </row>
    <row r="8" spans="1:29" x14ac:dyDescent="0.3">
      <c r="E8" s="7" t="str">
        <f>IFERROR(VLOOKUP(O8,Parameters!C:D,2,FALSE),"")</f>
        <v/>
      </c>
      <c r="Q8" s="5" t="str">
        <f>IF(_xlfn.XLOOKUP(People!$R8,Parameters!N:N,Parameters!M:M)=0,"",_xlfn.XLOOKUP(People!$R8,Parameters!N:N,Parameters!M:M))</f>
        <v/>
      </c>
      <c r="S8" s="5" t="str">
        <f>IFERROR(IF(_xlfn.XLOOKUP(R8,Parameters!N:N,Parameters!L:L)=0,"",_xlfn.XLOOKUP(R8,Parameters!N:N,Parameters!L:L)),"")</f>
        <v/>
      </c>
    </row>
    <row r="9" spans="1:29" x14ac:dyDescent="0.3">
      <c r="E9" s="7" t="str">
        <f>IFERROR(VLOOKUP(O9,Parameters!C:D,2,FALSE),"")</f>
        <v/>
      </c>
      <c r="Q9" s="5" t="str">
        <f>IF(_xlfn.XLOOKUP(People!$R9,Parameters!N:N,Parameters!M:M)=0,"",_xlfn.XLOOKUP(People!$R9,Parameters!N:N,Parameters!M:M))</f>
        <v/>
      </c>
      <c r="S9" s="5" t="str">
        <f>IFERROR(IF(_xlfn.XLOOKUP(R9,Parameters!N:N,Parameters!L:L)=0,"",_xlfn.XLOOKUP(R9,Parameters!N:N,Parameters!L:L)),"")</f>
        <v/>
      </c>
    </row>
    <row r="10" spans="1:29" x14ac:dyDescent="0.3">
      <c r="E10" s="7" t="str">
        <f>IFERROR(VLOOKUP(O10,Parameters!C:D,2,FALSE),"")</f>
        <v/>
      </c>
      <c r="Q10" s="5" t="str">
        <f>IF(_xlfn.XLOOKUP(People!$R10,Parameters!N:N,Parameters!M:M)=0,"",_xlfn.XLOOKUP(People!$R10,Parameters!N:N,Parameters!M:M))</f>
        <v/>
      </c>
      <c r="S10" s="5" t="str">
        <f>IFERROR(IF(_xlfn.XLOOKUP(R10,Parameters!N:N,Parameters!L:L)=0,"",_xlfn.XLOOKUP(R10,Parameters!N:N,Parameters!L:L)),"")</f>
        <v/>
      </c>
    </row>
    <row r="11" spans="1:29" x14ac:dyDescent="0.3">
      <c r="E11" s="7" t="str">
        <f>IFERROR(VLOOKUP(O11,Parameters!C:D,2,FALSE),"")</f>
        <v/>
      </c>
      <c r="Q11" s="5" t="str">
        <f>IF(_xlfn.XLOOKUP(People!$R11,Parameters!N:N,Parameters!M:M)=0,"",_xlfn.XLOOKUP(People!$R11,Parameters!N:N,Parameters!M:M))</f>
        <v/>
      </c>
      <c r="S11" s="5" t="str">
        <f>IFERROR(IF(_xlfn.XLOOKUP(R11,Parameters!N:N,Parameters!L:L)=0,"",_xlfn.XLOOKUP(R11,Parameters!N:N,Parameters!L:L)),"")</f>
        <v/>
      </c>
    </row>
    <row r="12" spans="1:29" x14ac:dyDescent="0.3">
      <c r="E12" s="7" t="str">
        <f>IFERROR(VLOOKUP(O12,Parameters!C:D,2,FALSE),"")</f>
        <v/>
      </c>
      <c r="Q12" s="5" t="str">
        <f>IF(_xlfn.XLOOKUP(People!$R12,Parameters!N:N,Parameters!M:M)=0,"",_xlfn.XLOOKUP(People!$R12,Parameters!N:N,Parameters!M:M))</f>
        <v/>
      </c>
      <c r="S12" s="5" t="str">
        <f>IFERROR(IF(_xlfn.XLOOKUP(R12,Parameters!N:N,Parameters!L:L)=0,"",_xlfn.XLOOKUP(R12,Parameters!N:N,Parameters!L:L)),"")</f>
        <v/>
      </c>
    </row>
    <row r="13" spans="1:29" x14ac:dyDescent="0.3">
      <c r="E13" s="7" t="str">
        <f>IFERROR(VLOOKUP(O13,Parameters!C:D,2,FALSE),"")</f>
        <v/>
      </c>
      <c r="Q13" s="5" t="str">
        <f>IF(_xlfn.XLOOKUP(People!$R13,Parameters!N:N,Parameters!M:M)=0,"",_xlfn.XLOOKUP(People!$R13,Parameters!N:N,Parameters!M:M))</f>
        <v/>
      </c>
      <c r="S13" s="5" t="str">
        <f>IFERROR(IF(_xlfn.XLOOKUP(R13,Parameters!N:N,Parameters!L:L)=0,"",_xlfn.XLOOKUP(R13,Parameters!N:N,Parameters!L:L)),"")</f>
        <v/>
      </c>
    </row>
    <row r="14" spans="1:29" x14ac:dyDescent="0.3">
      <c r="E14" s="7" t="str">
        <f>IFERROR(VLOOKUP(O14,Parameters!C:D,2,FALSE),"")</f>
        <v/>
      </c>
      <c r="Q14" s="5" t="str">
        <f>IF(_xlfn.XLOOKUP(People!$R14,Parameters!N:N,Parameters!M:M)=0,"",_xlfn.XLOOKUP(People!$R14,Parameters!N:N,Parameters!M:M))</f>
        <v/>
      </c>
      <c r="S14" s="5" t="str">
        <f>IFERROR(IF(_xlfn.XLOOKUP(R14,Parameters!N:N,Parameters!L:L)=0,"",_xlfn.XLOOKUP(R14,Parameters!N:N,Parameters!L:L)),"")</f>
        <v/>
      </c>
    </row>
    <row r="15" spans="1:29" x14ac:dyDescent="0.3">
      <c r="E15" s="7" t="str">
        <f>IFERROR(VLOOKUP(O15,Parameters!C:D,2,FALSE),"")</f>
        <v/>
      </c>
      <c r="Q15" s="5" t="str">
        <f>IF(_xlfn.XLOOKUP(People!$R15,Parameters!N:N,Parameters!M:M)=0,"",_xlfn.XLOOKUP(People!$R15,Parameters!N:N,Parameters!M:M))</f>
        <v/>
      </c>
      <c r="S15" s="5" t="str">
        <f>IFERROR(IF(_xlfn.XLOOKUP(R15,Parameters!N:N,Parameters!L:L)=0,"",_xlfn.XLOOKUP(R15,Parameters!N:N,Parameters!L:L)),"")</f>
        <v/>
      </c>
    </row>
    <row r="16" spans="1:29" x14ac:dyDescent="0.3">
      <c r="E16" s="7" t="str">
        <f>IFERROR(VLOOKUP(O16,Parameters!C:D,2,FALSE),"")</f>
        <v/>
      </c>
      <c r="Q16" s="5" t="str">
        <f>IF(_xlfn.XLOOKUP(People!$R16,Parameters!N:N,Parameters!M:M)=0,"",_xlfn.XLOOKUP(People!$R16,Parameters!N:N,Parameters!M:M))</f>
        <v/>
      </c>
      <c r="S16" s="5" t="str">
        <f>IFERROR(IF(_xlfn.XLOOKUP(R16,Parameters!N:N,Parameters!L:L)=0,"",_xlfn.XLOOKUP(R16,Parameters!N:N,Parameters!L:L)),"")</f>
        <v/>
      </c>
    </row>
    <row r="17" spans="5:19" x14ac:dyDescent="0.3">
      <c r="E17" s="7" t="str">
        <f>IFERROR(VLOOKUP(O17,Parameters!C:D,2,FALSE),"")</f>
        <v/>
      </c>
      <c r="Q17" s="5" t="str">
        <f>IF(_xlfn.XLOOKUP(People!$R17,Parameters!N:N,Parameters!M:M)=0,"",_xlfn.XLOOKUP(People!$R17,Parameters!N:N,Parameters!M:M))</f>
        <v/>
      </c>
      <c r="S17" s="5" t="str">
        <f>IFERROR(IF(_xlfn.XLOOKUP(R17,Parameters!N:N,Parameters!L:L)=0,"",_xlfn.XLOOKUP(R17,Parameters!N:N,Parameters!L:L)),"")</f>
        <v/>
      </c>
    </row>
  </sheetData>
  <sheetProtection algorithmName="SHA-512" hashValue="qdwEOllK3iRysMnd02QmsWVWKuxY1mUskfsLDNoXZgdPDwPYE4y6Yy/r69KBb6PBSm6xGjzMD0uqMO3ncoOKxA==" saltValue="spXa7jPYsz0pNs23H7u3pg==" spinCount="100000" sheet="1" objects="1" scenarios="1"/>
  <protectedRanges>
    <protectedRange sqref="W2 A3:AC390" name="Rango1"/>
  </protectedRanges>
  <dataValidations count="1">
    <dataValidation type="list" allowBlank="1" showInputMessage="1" showErrorMessage="1" sqref="S1:S2 O3:O1048576" xr:uid="{958D334F-CFFE-42EF-8850-9B12DB380E07}">
      <formula1>#REF!</formula1>
    </dataValidation>
  </dataValidations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536015C6-980D-49AD-AA84-70DF4D88498E}">
          <x14:formula1>
            <xm:f>Parameters!$N$4:$N$21</xm:f>
          </x14:formula1>
          <xm:sqref>R3:R1048576</xm:sqref>
        </x14:dataValidation>
        <x14:dataValidation type="list" allowBlank="1" showInputMessage="1" showErrorMessage="1" xr:uid="{A6C488DF-6AA2-4CA9-A6C1-F047E0F38674}">
          <x14:formula1>
            <xm:f>Parameters!$D$4:$D$238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6"/>
  <sheetViews>
    <sheetView topLeftCell="B1" zoomScaleNormal="100" workbookViewId="0">
      <selection sqref="A1:A1048576"/>
    </sheetView>
  </sheetViews>
  <sheetFormatPr baseColWidth="10" defaultColWidth="10.8984375" defaultRowHeight="15.6" x14ac:dyDescent="0.3"/>
  <cols>
    <col min="1" max="1" width="10.5" hidden="1" customWidth="1"/>
    <col min="2" max="3" width="10.5" customWidth="1"/>
    <col min="4" max="4" width="33.59765625" customWidth="1"/>
    <col min="5" max="6" width="10.5" customWidth="1"/>
    <col min="10" max="10" width="10.5" customWidth="1"/>
    <col min="12" max="12" width="31" bestFit="1" customWidth="1"/>
    <col min="13" max="13" width="48.19921875" bestFit="1" customWidth="1"/>
  </cols>
  <sheetData>
    <row r="1" spans="1:14" x14ac:dyDescent="0.3">
      <c r="A1" t="s">
        <v>330</v>
      </c>
    </row>
    <row r="2" spans="1:14" x14ac:dyDescent="0.3">
      <c r="H2" s="34"/>
      <c r="I2" s="34"/>
    </row>
    <row r="3" spans="1:14" x14ac:dyDescent="0.3">
      <c r="D3" s="1" t="s">
        <v>59</v>
      </c>
      <c r="F3" s="1" t="s">
        <v>60</v>
      </c>
      <c r="H3" s="3" t="s">
        <v>43</v>
      </c>
      <c r="J3" t="s">
        <v>61</v>
      </c>
      <c r="L3" t="s">
        <v>46</v>
      </c>
      <c r="M3" t="s">
        <v>62</v>
      </c>
      <c r="N3" t="s">
        <v>63</v>
      </c>
    </row>
    <row r="4" spans="1:14" x14ac:dyDescent="0.3">
      <c r="C4" t="s">
        <v>64</v>
      </c>
      <c r="D4" t="s">
        <v>65</v>
      </c>
      <c r="F4" t="s">
        <v>66</v>
      </c>
      <c r="H4" t="s">
        <v>67</v>
      </c>
      <c r="J4" t="s">
        <v>68</v>
      </c>
      <c r="L4" t="s">
        <v>69</v>
      </c>
      <c r="M4" t="s">
        <v>70</v>
      </c>
      <c r="N4" t="s">
        <v>71</v>
      </c>
    </row>
    <row r="5" spans="1:14" x14ac:dyDescent="0.3">
      <c r="C5" t="s">
        <v>72</v>
      </c>
      <c r="D5" t="s">
        <v>73</v>
      </c>
      <c r="F5" t="s">
        <v>74</v>
      </c>
      <c r="H5" t="s">
        <v>72</v>
      </c>
      <c r="J5" t="s">
        <v>75</v>
      </c>
      <c r="L5" t="s">
        <v>76</v>
      </c>
      <c r="M5" t="s">
        <v>70</v>
      </c>
      <c r="N5" t="s">
        <v>58</v>
      </c>
    </row>
    <row r="6" spans="1:14" x14ac:dyDescent="0.3">
      <c r="C6" t="s">
        <v>64</v>
      </c>
      <c r="D6" t="s">
        <v>77</v>
      </c>
      <c r="H6" t="s">
        <v>78</v>
      </c>
      <c r="J6" t="s">
        <v>79</v>
      </c>
      <c r="L6" t="s">
        <v>80</v>
      </c>
      <c r="M6" t="s">
        <v>81</v>
      </c>
      <c r="N6" t="s">
        <v>82</v>
      </c>
    </row>
    <row r="7" spans="1:14" x14ac:dyDescent="0.3">
      <c r="C7" t="s">
        <v>72</v>
      </c>
      <c r="D7" t="s">
        <v>83</v>
      </c>
      <c r="L7" t="s">
        <v>84</v>
      </c>
      <c r="M7" t="s">
        <v>85</v>
      </c>
      <c r="N7" t="s">
        <v>86</v>
      </c>
    </row>
    <row r="8" spans="1:14" x14ac:dyDescent="0.3">
      <c r="D8" t="s">
        <v>87</v>
      </c>
      <c r="L8" t="s">
        <v>88</v>
      </c>
      <c r="M8" t="s">
        <v>89</v>
      </c>
      <c r="N8" t="s">
        <v>90</v>
      </c>
    </row>
    <row r="9" spans="1:14" x14ac:dyDescent="0.3">
      <c r="D9" t="s">
        <v>91</v>
      </c>
      <c r="L9" t="s">
        <v>92</v>
      </c>
      <c r="M9" t="s">
        <v>93</v>
      </c>
      <c r="N9" t="s">
        <v>94</v>
      </c>
    </row>
    <row r="10" spans="1:14" x14ac:dyDescent="0.3">
      <c r="D10" t="s">
        <v>95</v>
      </c>
      <c r="L10" t="s">
        <v>96</v>
      </c>
      <c r="M10" t="s">
        <v>97</v>
      </c>
      <c r="N10" t="s">
        <v>98</v>
      </c>
    </row>
    <row r="11" spans="1:14" x14ac:dyDescent="0.3">
      <c r="D11" t="s">
        <v>99</v>
      </c>
      <c r="F11" t="s">
        <v>100</v>
      </c>
      <c r="L11" t="s">
        <v>101</v>
      </c>
      <c r="M11" t="s">
        <v>102</v>
      </c>
      <c r="N11" t="s">
        <v>103</v>
      </c>
    </row>
    <row r="12" spans="1:14" x14ac:dyDescent="0.3">
      <c r="D12" t="s">
        <v>104</v>
      </c>
      <c r="F12" t="s">
        <v>105</v>
      </c>
      <c r="L12" t="s">
        <v>106</v>
      </c>
      <c r="M12" t="s">
        <v>107</v>
      </c>
      <c r="N12" t="s">
        <v>108</v>
      </c>
    </row>
    <row r="13" spans="1:14" x14ac:dyDescent="0.3">
      <c r="C13" t="s">
        <v>72</v>
      </c>
      <c r="D13" t="s">
        <v>109</v>
      </c>
      <c r="F13" t="s">
        <v>110</v>
      </c>
      <c r="L13" t="s">
        <v>111</v>
      </c>
      <c r="M13" t="s">
        <v>112</v>
      </c>
      <c r="N13" t="s">
        <v>113</v>
      </c>
    </row>
    <row r="14" spans="1:14" x14ac:dyDescent="0.3">
      <c r="C14" t="s">
        <v>64</v>
      </c>
      <c r="D14" t="s">
        <v>114</v>
      </c>
      <c r="F14" t="s">
        <v>115</v>
      </c>
      <c r="L14" t="s">
        <v>116</v>
      </c>
      <c r="M14" t="s">
        <v>117</v>
      </c>
      <c r="N14" t="s">
        <v>118</v>
      </c>
    </row>
    <row r="15" spans="1:14" x14ac:dyDescent="0.3">
      <c r="C15" t="s">
        <v>72</v>
      </c>
      <c r="D15" t="s">
        <v>119</v>
      </c>
      <c r="F15" t="s">
        <v>120</v>
      </c>
      <c r="L15" t="s">
        <v>121</v>
      </c>
      <c r="M15" t="s">
        <v>122</v>
      </c>
      <c r="N15" t="s">
        <v>123</v>
      </c>
    </row>
    <row r="16" spans="1:14" x14ac:dyDescent="0.3">
      <c r="C16" t="s">
        <v>64</v>
      </c>
      <c r="D16" t="s">
        <v>124</v>
      </c>
      <c r="F16" t="s">
        <v>125</v>
      </c>
      <c r="L16" t="s">
        <v>126</v>
      </c>
      <c r="M16" t="s">
        <v>127</v>
      </c>
      <c r="N16" t="s">
        <v>128</v>
      </c>
    </row>
    <row r="17" spans="3:14" x14ac:dyDescent="0.3">
      <c r="C17" t="s">
        <v>72</v>
      </c>
      <c r="D17" t="s">
        <v>129</v>
      </c>
      <c r="F17" t="s">
        <v>130</v>
      </c>
      <c r="L17" t="s">
        <v>131</v>
      </c>
      <c r="M17" t="s">
        <v>132</v>
      </c>
      <c r="N17" t="s">
        <v>133</v>
      </c>
    </row>
    <row r="18" spans="3:14" x14ac:dyDescent="0.3">
      <c r="C18" t="s">
        <v>64</v>
      </c>
      <c r="D18" t="s">
        <v>134</v>
      </c>
      <c r="F18" t="s">
        <v>135</v>
      </c>
      <c r="L18" t="s">
        <v>136</v>
      </c>
      <c r="M18" t="s">
        <v>137</v>
      </c>
      <c r="N18" t="s">
        <v>138</v>
      </c>
    </row>
    <row r="19" spans="3:14" x14ac:dyDescent="0.3">
      <c r="D19" t="s">
        <v>139</v>
      </c>
      <c r="F19" t="s">
        <v>140</v>
      </c>
      <c r="L19" t="s">
        <v>141</v>
      </c>
      <c r="M19" t="s">
        <v>142</v>
      </c>
      <c r="N19" t="s">
        <v>143</v>
      </c>
    </row>
    <row r="20" spans="3:14" x14ac:dyDescent="0.3">
      <c r="D20" t="s">
        <v>144</v>
      </c>
      <c r="F20" t="s">
        <v>145</v>
      </c>
      <c r="L20" t="s">
        <v>146</v>
      </c>
      <c r="M20" t="s">
        <v>147</v>
      </c>
      <c r="N20" t="s">
        <v>148</v>
      </c>
    </row>
    <row r="21" spans="3:14" x14ac:dyDescent="0.3">
      <c r="C21" t="s">
        <v>72</v>
      </c>
      <c r="D21" t="s">
        <v>149</v>
      </c>
      <c r="F21" t="s">
        <v>150</v>
      </c>
      <c r="L21" t="s">
        <v>151</v>
      </c>
      <c r="M21" t="s">
        <v>152</v>
      </c>
      <c r="N21" t="s">
        <v>153</v>
      </c>
    </row>
    <row r="22" spans="3:14" x14ac:dyDescent="0.3">
      <c r="D22" t="s">
        <v>154</v>
      </c>
      <c r="F22" t="s">
        <v>155</v>
      </c>
    </row>
    <row r="23" spans="3:14" x14ac:dyDescent="0.3">
      <c r="C23" t="s">
        <v>64</v>
      </c>
      <c r="D23" t="s">
        <v>156</v>
      </c>
      <c r="F23" t="s">
        <v>157</v>
      </c>
    </row>
    <row r="24" spans="3:14" x14ac:dyDescent="0.3">
      <c r="C24" t="s">
        <v>72</v>
      </c>
      <c r="D24" t="s">
        <v>158</v>
      </c>
    </row>
    <row r="25" spans="3:14" x14ac:dyDescent="0.3">
      <c r="C25" t="s">
        <v>64</v>
      </c>
      <c r="D25" t="s">
        <v>159</v>
      </c>
    </row>
    <row r="26" spans="3:14" x14ac:dyDescent="0.3">
      <c r="C26" t="s">
        <v>72</v>
      </c>
      <c r="D26" t="s">
        <v>160</v>
      </c>
    </row>
    <row r="27" spans="3:14" x14ac:dyDescent="0.3">
      <c r="D27" t="s">
        <v>161</v>
      </c>
    </row>
    <row r="28" spans="3:14" x14ac:dyDescent="0.3">
      <c r="D28" t="s">
        <v>162</v>
      </c>
    </row>
    <row r="29" spans="3:14" x14ac:dyDescent="0.3">
      <c r="D29" t="s">
        <v>163</v>
      </c>
    </row>
    <row r="30" spans="3:14" x14ac:dyDescent="0.3">
      <c r="D30" t="s">
        <v>164</v>
      </c>
    </row>
    <row r="31" spans="3:14" x14ac:dyDescent="0.3">
      <c r="D31" t="s">
        <v>165</v>
      </c>
    </row>
    <row r="32" spans="3:14" x14ac:dyDescent="0.3">
      <c r="C32" t="s">
        <v>72</v>
      </c>
      <c r="D32" t="s">
        <v>166</v>
      </c>
    </row>
    <row r="33" spans="3:4" x14ac:dyDescent="0.3">
      <c r="C33" t="s">
        <v>67</v>
      </c>
      <c r="D33" t="s">
        <v>57</v>
      </c>
    </row>
    <row r="34" spans="3:4" x14ac:dyDescent="0.3">
      <c r="D34" t="s">
        <v>167</v>
      </c>
    </row>
    <row r="35" spans="3:4" x14ac:dyDescent="0.3">
      <c r="D35" t="s">
        <v>168</v>
      </c>
    </row>
    <row r="36" spans="3:4" x14ac:dyDescent="0.3">
      <c r="D36" t="s">
        <v>169</v>
      </c>
    </row>
    <row r="37" spans="3:4" x14ac:dyDescent="0.3">
      <c r="D37" t="s">
        <v>170</v>
      </c>
    </row>
    <row r="38" spans="3:4" x14ac:dyDescent="0.3">
      <c r="D38" t="s">
        <v>171</v>
      </c>
    </row>
    <row r="39" spans="3:4" x14ac:dyDescent="0.3">
      <c r="C39" t="s">
        <v>72</v>
      </c>
      <c r="D39" t="s">
        <v>172</v>
      </c>
    </row>
    <row r="40" spans="3:4" x14ac:dyDescent="0.3">
      <c r="D40" t="s">
        <v>173</v>
      </c>
    </row>
    <row r="41" spans="3:4" x14ac:dyDescent="0.3">
      <c r="C41" t="s">
        <v>78</v>
      </c>
      <c r="D41" t="s">
        <v>174</v>
      </c>
    </row>
    <row r="42" spans="3:4" x14ac:dyDescent="0.3">
      <c r="D42" t="s">
        <v>175</v>
      </c>
    </row>
    <row r="43" spans="3:4" x14ac:dyDescent="0.3">
      <c r="D43" t="s">
        <v>176</v>
      </c>
    </row>
    <row r="44" spans="3:4" x14ac:dyDescent="0.3">
      <c r="D44" t="s">
        <v>177</v>
      </c>
    </row>
    <row r="45" spans="3:4" x14ac:dyDescent="0.3">
      <c r="D45" t="s">
        <v>178</v>
      </c>
    </row>
    <row r="46" spans="3:4" x14ac:dyDescent="0.3">
      <c r="D46" t="s">
        <v>179</v>
      </c>
    </row>
    <row r="47" spans="3:4" x14ac:dyDescent="0.3">
      <c r="C47" t="s">
        <v>72</v>
      </c>
      <c r="D47" t="s">
        <v>180</v>
      </c>
    </row>
    <row r="48" spans="3:4" x14ac:dyDescent="0.3">
      <c r="D48" t="s">
        <v>181</v>
      </c>
    </row>
    <row r="49" spans="3:4" x14ac:dyDescent="0.3">
      <c r="D49" t="s">
        <v>182</v>
      </c>
    </row>
    <row r="50" spans="3:4" x14ac:dyDescent="0.3">
      <c r="D50" t="s">
        <v>183</v>
      </c>
    </row>
    <row r="51" spans="3:4" x14ac:dyDescent="0.3">
      <c r="D51" t="s">
        <v>184</v>
      </c>
    </row>
    <row r="52" spans="3:4" x14ac:dyDescent="0.3">
      <c r="C52" t="s">
        <v>72</v>
      </c>
      <c r="D52" t="s">
        <v>185</v>
      </c>
    </row>
    <row r="53" spans="3:4" x14ac:dyDescent="0.3">
      <c r="D53" t="s">
        <v>186</v>
      </c>
    </row>
    <row r="54" spans="3:4" x14ac:dyDescent="0.3">
      <c r="C54" t="s">
        <v>72</v>
      </c>
      <c r="D54" t="s">
        <v>187</v>
      </c>
    </row>
    <row r="55" spans="3:4" x14ac:dyDescent="0.3">
      <c r="D55" t="s">
        <v>188</v>
      </c>
    </row>
    <row r="56" spans="3:4" x14ac:dyDescent="0.3">
      <c r="C56" t="s">
        <v>72</v>
      </c>
      <c r="D56" t="s">
        <v>189</v>
      </c>
    </row>
    <row r="57" spans="3:4" x14ac:dyDescent="0.3">
      <c r="D57" t="s">
        <v>190</v>
      </c>
    </row>
    <row r="58" spans="3:4" x14ac:dyDescent="0.3">
      <c r="D58" t="s">
        <v>191</v>
      </c>
    </row>
    <row r="59" spans="3:4" x14ac:dyDescent="0.3">
      <c r="D59" t="s">
        <v>192</v>
      </c>
    </row>
    <row r="60" spans="3:4" x14ac:dyDescent="0.3">
      <c r="C60" t="s">
        <v>72</v>
      </c>
      <c r="D60" t="s">
        <v>193</v>
      </c>
    </row>
    <row r="61" spans="3:4" x14ac:dyDescent="0.3">
      <c r="D61" t="s">
        <v>194</v>
      </c>
    </row>
    <row r="62" spans="3:4" x14ac:dyDescent="0.3">
      <c r="D62" t="s">
        <v>195</v>
      </c>
    </row>
    <row r="63" spans="3:4" x14ac:dyDescent="0.3">
      <c r="D63" t="s">
        <v>196</v>
      </c>
    </row>
    <row r="64" spans="3:4" x14ac:dyDescent="0.3">
      <c r="C64" t="s">
        <v>72</v>
      </c>
      <c r="D64" t="s">
        <v>197</v>
      </c>
    </row>
    <row r="65" spans="3:4" x14ac:dyDescent="0.3">
      <c r="D65" t="s">
        <v>198</v>
      </c>
    </row>
    <row r="66" spans="3:4" x14ac:dyDescent="0.3">
      <c r="C66" t="s">
        <v>72</v>
      </c>
      <c r="D66" t="s">
        <v>199</v>
      </c>
    </row>
    <row r="67" spans="3:4" x14ac:dyDescent="0.3">
      <c r="D67" t="s">
        <v>200</v>
      </c>
    </row>
    <row r="68" spans="3:4" x14ac:dyDescent="0.3">
      <c r="C68" t="s">
        <v>72</v>
      </c>
      <c r="D68" t="s">
        <v>201</v>
      </c>
    </row>
    <row r="69" spans="3:4" x14ac:dyDescent="0.3">
      <c r="D69" t="s">
        <v>202</v>
      </c>
    </row>
    <row r="70" spans="3:4" x14ac:dyDescent="0.3">
      <c r="C70" t="s">
        <v>72</v>
      </c>
      <c r="D70" t="s">
        <v>203</v>
      </c>
    </row>
    <row r="71" spans="3:4" x14ac:dyDescent="0.3">
      <c r="D71" t="s">
        <v>204</v>
      </c>
    </row>
    <row r="72" spans="3:4" x14ac:dyDescent="0.3">
      <c r="C72" t="s">
        <v>72</v>
      </c>
      <c r="D72" t="s">
        <v>205</v>
      </c>
    </row>
    <row r="73" spans="3:4" x14ac:dyDescent="0.3">
      <c r="D73" t="s">
        <v>206</v>
      </c>
    </row>
    <row r="74" spans="3:4" x14ac:dyDescent="0.3">
      <c r="D74" t="s">
        <v>207</v>
      </c>
    </row>
    <row r="75" spans="3:4" x14ac:dyDescent="0.3">
      <c r="D75" t="s">
        <v>208</v>
      </c>
    </row>
    <row r="76" spans="3:4" x14ac:dyDescent="0.3">
      <c r="D76" t="s">
        <v>209</v>
      </c>
    </row>
    <row r="77" spans="3:4" x14ac:dyDescent="0.3">
      <c r="D77" t="s">
        <v>210</v>
      </c>
    </row>
    <row r="78" spans="3:4" x14ac:dyDescent="0.3">
      <c r="C78" t="s">
        <v>72</v>
      </c>
      <c r="D78" t="s">
        <v>211</v>
      </c>
    </row>
    <row r="79" spans="3:4" x14ac:dyDescent="0.3">
      <c r="D79" t="s">
        <v>212</v>
      </c>
    </row>
    <row r="80" spans="3:4" x14ac:dyDescent="0.3">
      <c r="C80" t="s">
        <v>72</v>
      </c>
      <c r="D80" t="s">
        <v>213</v>
      </c>
    </row>
    <row r="81" spans="3:4" x14ac:dyDescent="0.3">
      <c r="D81" t="s">
        <v>214</v>
      </c>
    </row>
    <row r="82" spans="3:4" x14ac:dyDescent="0.3">
      <c r="C82" t="s">
        <v>72</v>
      </c>
      <c r="D82" t="s">
        <v>215</v>
      </c>
    </row>
    <row r="83" spans="3:4" x14ac:dyDescent="0.3">
      <c r="D83" t="s">
        <v>216</v>
      </c>
    </row>
    <row r="84" spans="3:4" x14ac:dyDescent="0.3">
      <c r="C84" t="s">
        <v>72</v>
      </c>
      <c r="D84" t="s">
        <v>217</v>
      </c>
    </row>
    <row r="85" spans="3:4" x14ac:dyDescent="0.3">
      <c r="D85" t="s">
        <v>218</v>
      </c>
    </row>
    <row r="86" spans="3:4" x14ac:dyDescent="0.3">
      <c r="C86" t="s">
        <v>72</v>
      </c>
      <c r="D86" t="s">
        <v>219</v>
      </c>
    </row>
    <row r="87" spans="3:4" x14ac:dyDescent="0.3">
      <c r="D87" t="s">
        <v>220</v>
      </c>
    </row>
    <row r="88" spans="3:4" x14ac:dyDescent="0.3">
      <c r="D88" t="s">
        <v>221</v>
      </c>
    </row>
    <row r="89" spans="3:4" x14ac:dyDescent="0.3">
      <c r="C89" t="s">
        <v>72</v>
      </c>
      <c r="D89" t="s">
        <v>222</v>
      </c>
    </row>
    <row r="90" spans="3:4" x14ac:dyDescent="0.3">
      <c r="D90" t="s">
        <v>223</v>
      </c>
    </row>
    <row r="91" spans="3:4" x14ac:dyDescent="0.3">
      <c r="C91" t="s">
        <v>72</v>
      </c>
      <c r="D91" t="s">
        <v>224</v>
      </c>
    </row>
    <row r="92" spans="3:4" x14ac:dyDescent="0.3">
      <c r="D92" t="s">
        <v>225</v>
      </c>
    </row>
    <row r="93" spans="3:4" x14ac:dyDescent="0.3">
      <c r="C93" t="s">
        <v>72</v>
      </c>
      <c r="D93" t="s">
        <v>226</v>
      </c>
    </row>
    <row r="94" spans="3:4" x14ac:dyDescent="0.3">
      <c r="D94" t="s">
        <v>227</v>
      </c>
    </row>
    <row r="95" spans="3:4" x14ac:dyDescent="0.3">
      <c r="C95" t="s">
        <v>72</v>
      </c>
      <c r="D95" t="s">
        <v>228</v>
      </c>
    </row>
    <row r="96" spans="3:4" x14ac:dyDescent="0.3">
      <c r="D96" t="s">
        <v>229</v>
      </c>
    </row>
    <row r="97" spans="3:4" x14ac:dyDescent="0.3">
      <c r="C97" t="s">
        <v>72</v>
      </c>
      <c r="D97" t="s">
        <v>230</v>
      </c>
    </row>
    <row r="98" spans="3:4" x14ac:dyDescent="0.3">
      <c r="D98" t="s">
        <v>231</v>
      </c>
    </row>
    <row r="99" spans="3:4" x14ac:dyDescent="0.3">
      <c r="C99" t="s">
        <v>72</v>
      </c>
      <c r="D99" t="s">
        <v>232</v>
      </c>
    </row>
    <row r="100" spans="3:4" x14ac:dyDescent="0.3">
      <c r="D100" t="s">
        <v>233</v>
      </c>
    </row>
    <row r="101" spans="3:4" x14ac:dyDescent="0.3">
      <c r="C101" t="s">
        <v>72</v>
      </c>
      <c r="D101" t="s">
        <v>234</v>
      </c>
    </row>
    <row r="102" spans="3:4" x14ac:dyDescent="0.3">
      <c r="D102" t="s">
        <v>235</v>
      </c>
    </row>
    <row r="103" spans="3:4" x14ac:dyDescent="0.3">
      <c r="C103" t="s">
        <v>72</v>
      </c>
      <c r="D103" t="s">
        <v>236</v>
      </c>
    </row>
    <row r="104" spans="3:4" x14ac:dyDescent="0.3">
      <c r="D104" t="s">
        <v>237</v>
      </c>
    </row>
    <row r="105" spans="3:4" x14ac:dyDescent="0.3">
      <c r="D105" t="s">
        <v>238</v>
      </c>
    </row>
    <row r="106" spans="3:4" x14ac:dyDescent="0.3">
      <c r="D106" t="s">
        <v>239</v>
      </c>
    </row>
    <row r="107" spans="3:4" x14ac:dyDescent="0.3">
      <c r="D107" t="s">
        <v>240</v>
      </c>
    </row>
    <row r="108" spans="3:4" x14ac:dyDescent="0.3">
      <c r="C108" t="s">
        <v>72</v>
      </c>
      <c r="D108" t="s">
        <v>241</v>
      </c>
    </row>
    <row r="109" spans="3:4" x14ac:dyDescent="0.3">
      <c r="D109" t="s">
        <v>242</v>
      </c>
    </row>
    <row r="110" spans="3:4" x14ac:dyDescent="0.3">
      <c r="C110" t="s">
        <v>72</v>
      </c>
      <c r="D110" t="s">
        <v>243</v>
      </c>
    </row>
    <row r="111" spans="3:4" x14ac:dyDescent="0.3">
      <c r="D111" t="s">
        <v>244</v>
      </c>
    </row>
    <row r="112" spans="3:4" x14ac:dyDescent="0.3">
      <c r="C112" t="s">
        <v>72</v>
      </c>
      <c r="D112" t="s">
        <v>245</v>
      </c>
    </row>
    <row r="113" spans="3:4" x14ac:dyDescent="0.3">
      <c r="D113" t="s">
        <v>246</v>
      </c>
    </row>
    <row r="114" spans="3:4" x14ac:dyDescent="0.3">
      <c r="D114" t="s">
        <v>247</v>
      </c>
    </row>
    <row r="115" spans="3:4" x14ac:dyDescent="0.3">
      <c r="D115" t="s">
        <v>248</v>
      </c>
    </row>
    <row r="116" spans="3:4" x14ac:dyDescent="0.3">
      <c r="D116" t="s">
        <v>249</v>
      </c>
    </row>
    <row r="117" spans="3:4" x14ac:dyDescent="0.3">
      <c r="C117" t="s">
        <v>72</v>
      </c>
      <c r="D117" t="s">
        <v>250</v>
      </c>
    </row>
    <row r="118" spans="3:4" x14ac:dyDescent="0.3">
      <c r="D118" t="s">
        <v>251</v>
      </c>
    </row>
    <row r="119" spans="3:4" x14ac:dyDescent="0.3">
      <c r="C119" t="s">
        <v>72</v>
      </c>
      <c r="D119" t="s">
        <v>252</v>
      </c>
    </row>
    <row r="120" spans="3:4" x14ac:dyDescent="0.3">
      <c r="D120" t="s">
        <v>253</v>
      </c>
    </row>
    <row r="121" spans="3:4" x14ac:dyDescent="0.3">
      <c r="C121" t="s">
        <v>72</v>
      </c>
      <c r="D121" t="s">
        <v>254</v>
      </c>
    </row>
    <row r="122" spans="3:4" x14ac:dyDescent="0.3">
      <c r="D122" t="s">
        <v>255</v>
      </c>
    </row>
    <row r="123" spans="3:4" x14ac:dyDescent="0.3">
      <c r="C123" t="s">
        <v>72</v>
      </c>
      <c r="D123" t="s">
        <v>256</v>
      </c>
    </row>
    <row r="124" spans="3:4" x14ac:dyDescent="0.3">
      <c r="D124" t="s">
        <v>257</v>
      </c>
    </row>
    <row r="125" spans="3:4" x14ac:dyDescent="0.3">
      <c r="D125" t="s">
        <v>258</v>
      </c>
    </row>
    <row r="126" spans="3:4" x14ac:dyDescent="0.3">
      <c r="D126" t="s">
        <v>259</v>
      </c>
    </row>
    <row r="127" spans="3:4" x14ac:dyDescent="0.3">
      <c r="D127" t="s">
        <v>260</v>
      </c>
    </row>
    <row r="128" spans="3:4" x14ac:dyDescent="0.3">
      <c r="D128" t="s">
        <v>261</v>
      </c>
    </row>
    <row r="129" spans="3:4" x14ac:dyDescent="0.3">
      <c r="D129" t="s">
        <v>262</v>
      </c>
    </row>
    <row r="130" spans="3:4" x14ac:dyDescent="0.3">
      <c r="D130" t="s">
        <v>263</v>
      </c>
    </row>
    <row r="131" spans="3:4" x14ac:dyDescent="0.3">
      <c r="D131" t="s">
        <v>264</v>
      </c>
    </row>
    <row r="132" spans="3:4" x14ac:dyDescent="0.3">
      <c r="C132" t="s">
        <v>72</v>
      </c>
      <c r="D132" t="s">
        <v>265</v>
      </c>
    </row>
    <row r="133" spans="3:4" x14ac:dyDescent="0.3">
      <c r="D133" t="s">
        <v>266</v>
      </c>
    </row>
    <row r="134" spans="3:4" x14ac:dyDescent="0.3">
      <c r="C134" t="s">
        <v>72</v>
      </c>
      <c r="D134" t="s">
        <v>267</v>
      </c>
    </row>
    <row r="135" spans="3:4" x14ac:dyDescent="0.3">
      <c r="D135" t="s">
        <v>268</v>
      </c>
    </row>
    <row r="136" spans="3:4" x14ac:dyDescent="0.3">
      <c r="C136" t="s">
        <v>72</v>
      </c>
      <c r="D136" t="s">
        <v>269</v>
      </c>
    </row>
    <row r="137" spans="3:4" x14ac:dyDescent="0.3">
      <c r="D137" t="s">
        <v>270</v>
      </c>
    </row>
    <row r="138" spans="3:4" x14ac:dyDescent="0.3">
      <c r="D138" t="s">
        <v>271</v>
      </c>
    </row>
    <row r="139" spans="3:4" x14ac:dyDescent="0.3">
      <c r="C139" t="s">
        <v>72</v>
      </c>
      <c r="D139" t="s">
        <v>272</v>
      </c>
    </row>
    <row r="140" spans="3:4" x14ac:dyDescent="0.3">
      <c r="D140" t="s">
        <v>273</v>
      </c>
    </row>
    <row r="141" spans="3:4" x14ac:dyDescent="0.3">
      <c r="D141" t="s">
        <v>274</v>
      </c>
    </row>
    <row r="142" spans="3:4" x14ac:dyDescent="0.3">
      <c r="C142" t="s">
        <v>72</v>
      </c>
      <c r="D142" t="s">
        <v>275</v>
      </c>
    </row>
    <row r="143" spans="3:4" x14ac:dyDescent="0.3">
      <c r="D143" t="s">
        <v>276</v>
      </c>
    </row>
    <row r="144" spans="3:4" x14ac:dyDescent="0.3">
      <c r="D144" t="s">
        <v>277</v>
      </c>
    </row>
    <row r="145" spans="3:4" x14ac:dyDescent="0.3">
      <c r="C145" t="s">
        <v>72</v>
      </c>
      <c r="D145" t="s">
        <v>278</v>
      </c>
    </row>
    <row r="146" spans="3:4" x14ac:dyDescent="0.3">
      <c r="D146" t="s">
        <v>279</v>
      </c>
    </row>
    <row r="147" spans="3:4" x14ac:dyDescent="0.3">
      <c r="C147" t="s">
        <v>72</v>
      </c>
      <c r="D147" t="s">
        <v>280</v>
      </c>
    </row>
    <row r="148" spans="3:4" x14ac:dyDescent="0.3">
      <c r="D148" t="s">
        <v>281</v>
      </c>
    </row>
    <row r="149" spans="3:4" x14ac:dyDescent="0.3">
      <c r="C149" t="s">
        <v>72</v>
      </c>
      <c r="D149" t="s">
        <v>282</v>
      </c>
    </row>
    <row r="150" spans="3:4" x14ac:dyDescent="0.3">
      <c r="D150" t="s">
        <v>283</v>
      </c>
    </row>
    <row r="151" spans="3:4" x14ac:dyDescent="0.3">
      <c r="C151" t="s">
        <v>72</v>
      </c>
      <c r="D151" t="s">
        <v>284</v>
      </c>
    </row>
    <row r="152" spans="3:4" x14ac:dyDescent="0.3">
      <c r="D152" t="s">
        <v>285</v>
      </c>
    </row>
    <row r="153" spans="3:4" x14ac:dyDescent="0.3">
      <c r="C153" t="s">
        <v>72</v>
      </c>
      <c r="D153" t="s">
        <v>286</v>
      </c>
    </row>
    <row r="154" spans="3:4" x14ac:dyDescent="0.3">
      <c r="D154" t="s">
        <v>287</v>
      </c>
    </row>
    <row r="155" spans="3:4" x14ac:dyDescent="0.3">
      <c r="C155" t="s">
        <v>72</v>
      </c>
      <c r="D155" t="s">
        <v>288</v>
      </c>
    </row>
    <row r="156" spans="3:4" x14ac:dyDescent="0.3">
      <c r="D156" t="s">
        <v>289</v>
      </c>
    </row>
    <row r="157" spans="3:4" x14ac:dyDescent="0.3">
      <c r="C157" t="s">
        <v>72</v>
      </c>
      <c r="D157" t="s">
        <v>290</v>
      </c>
    </row>
    <row r="158" spans="3:4" x14ac:dyDescent="0.3">
      <c r="D158" t="s">
        <v>291</v>
      </c>
    </row>
    <row r="159" spans="3:4" x14ac:dyDescent="0.3">
      <c r="C159" t="s">
        <v>72</v>
      </c>
      <c r="D159" t="s">
        <v>292</v>
      </c>
    </row>
    <row r="160" spans="3:4" x14ac:dyDescent="0.3">
      <c r="D160" t="s">
        <v>293</v>
      </c>
    </row>
    <row r="161" spans="3:4" x14ac:dyDescent="0.3">
      <c r="C161" t="s">
        <v>72</v>
      </c>
      <c r="D161" t="s">
        <v>294</v>
      </c>
    </row>
    <row r="162" spans="3:4" x14ac:dyDescent="0.3">
      <c r="D162" t="s">
        <v>295</v>
      </c>
    </row>
    <row r="163" spans="3:4" x14ac:dyDescent="0.3">
      <c r="C163" t="s">
        <v>72</v>
      </c>
      <c r="D163" t="s">
        <v>296</v>
      </c>
    </row>
    <row r="164" spans="3:4" x14ac:dyDescent="0.3">
      <c r="D164" t="s">
        <v>297</v>
      </c>
    </row>
    <row r="165" spans="3:4" x14ac:dyDescent="0.3">
      <c r="C165" t="s">
        <v>72</v>
      </c>
      <c r="D165" t="s">
        <v>298</v>
      </c>
    </row>
    <row r="166" spans="3:4" x14ac:dyDescent="0.3">
      <c r="D166" t="s">
        <v>299</v>
      </c>
    </row>
    <row r="167" spans="3:4" x14ac:dyDescent="0.3">
      <c r="C167" t="s">
        <v>72</v>
      </c>
      <c r="D167" t="s">
        <v>300</v>
      </c>
    </row>
    <row r="168" spans="3:4" x14ac:dyDescent="0.3">
      <c r="D168" t="s">
        <v>301</v>
      </c>
    </row>
    <row r="169" spans="3:4" x14ac:dyDescent="0.3">
      <c r="C169" t="s">
        <v>72</v>
      </c>
      <c r="D169" t="s">
        <v>302</v>
      </c>
    </row>
    <row r="170" spans="3:4" x14ac:dyDescent="0.3">
      <c r="D170" t="s">
        <v>303</v>
      </c>
    </row>
    <row r="171" spans="3:4" x14ac:dyDescent="0.3">
      <c r="C171" t="s">
        <v>72</v>
      </c>
      <c r="D171" t="s">
        <v>304</v>
      </c>
    </row>
    <row r="172" spans="3:4" x14ac:dyDescent="0.3">
      <c r="D172" t="s">
        <v>305</v>
      </c>
    </row>
    <row r="173" spans="3:4" x14ac:dyDescent="0.3">
      <c r="D173" t="s">
        <v>306</v>
      </c>
    </row>
    <row r="174" spans="3:4" x14ac:dyDescent="0.3">
      <c r="C174" t="s">
        <v>72</v>
      </c>
      <c r="D174" t="s">
        <v>307</v>
      </c>
    </row>
    <row r="175" spans="3:4" x14ac:dyDescent="0.3">
      <c r="D175" t="s">
        <v>308</v>
      </c>
    </row>
    <row r="176" spans="3:4" x14ac:dyDescent="0.3">
      <c r="C176" t="s">
        <v>72</v>
      </c>
      <c r="D176" t="s">
        <v>309</v>
      </c>
    </row>
    <row r="177" spans="3:4" x14ac:dyDescent="0.3">
      <c r="D177" t="s">
        <v>310</v>
      </c>
    </row>
    <row r="178" spans="3:4" x14ac:dyDescent="0.3">
      <c r="C178" t="s">
        <v>72</v>
      </c>
      <c r="D178" t="s">
        <v>311</v>
      </c>
    </row>
    <row r="179" spans="3:4" x14ac:dyDescent="0.3">
      <c r="D179" t="s">
        <v>312</v>
      </c>
    </row>
    <row r="180" spans="3:4" x14ac:dyDescent="0.3">
      <c r="C180" t="s">
        <v>72</v>
      </c>
      <c r="D180" t="s">
        <v>313</v>
      </c>
    </row>
    <row r="181" spans="3:4" x14ac:dyDescent="0.3">
      <c r="D181" t="s">
        <v>314</v>
      </c>
    </row>
    <row r="182" spans="3:4" x14ac:dyDescent="0.3">
      <c r="C182" t="s">
        <v>72</v>
      </c>
      <c r="D182" t="s">
        <v>315</v>
      </c>
    </row>
    <row r="183" spans="3:4" x14ac:dyDescent="0.3">
      <c r="D183" t="s">
        <v>316</v>
      </c>
    </row>
    <row r="184" spans="3:4" x14ac:dyDescent="0.3">
      <c r="D184" t="s">
        <v>317</v>
      </c>
    </row>
    <row r="185" spans="3:4" x14ac:dyDescent="0.3">
      <c r="C185" t="s">
        <v>72</v>
      </c>
      <c r="D185" t="s">
        <v>318</v>
      </c>
    </row>
    <row r="186" spans="3:4" x14ac:dyDescent="0.3">
      <c r="D186" t="s">
        <v>319</v>
      </c>
    </row>
    <row r="187" spans="3:4" x14ac:dyDescent="0.3">
      <c r="C187" t="s">
        <v>72</v>
      </c>
      <c r="D187" t="s">
        <v>320</v>
      </c>
    </row>
    <row r="188" spans="3:4" x14ac:dyDescent="0.3">
      <c r="D188" t="s">
        <v>321</v>
      </c>
    </row>
    <row r="189" spans="3:4" x14ac:dyDescent="0.3">
      <c r="D189" t="s">
        <v>322</v>
      </c>
    </row>
    <row r="190" spans="3:4" x14ac:dyDescent="0.3">
      <c r="D190" t="s">
        <v>323</v>
      </c>
    </row>
    <row r="191" spans="3:4" x14ac:dyDescent="0.3">
      <c r="D191" t="s">
        <v>324</v>
      </c>
    </row>
    <row r="192" spans="3:4" x14ac:dyDescent="0.3">
      <c r="D192" t="s">
        <v>325</v>
      </c>
    </row>
    <row r="193" spans="4:4" x14ac:dyDescent="0.3">
      <c r="D193" t="s">
        <v>326</v>
      </c>
    </row>
    <row r="194" spans="4:4" x14ac:dyDescent="0.3">
      <c r="D194" t="s">
        <v>327</v>
      </c>
    </row>
    <row r="195" spans="4:4" x14ac:dyDescent="0.3">
      <c r="D195" t="s">
        <v>328</v>
      </c>
    </row>
    <row r="196" spans="4:4" x14ac:dyDescent="0.3">
      <c r="D196" t="s">
        <v>329</v>
      </c>
    </row>
  </sheetData>
  <autoFilter ref="C2:M196" xr:uid="{00000000-0001-0000-0100-000000000000}">
    <filterColumn colId="5" showButton="0"/>
  </autoFilter>
  <sortState xmlns:xlrd2="http://schemas.microsoft.com/office/spreadsheetml/2017/richdata2" ref="L7:L19">
    <sortCondition ref="L7:L19"/>
  </sortState>
  <mergeCells count="1">
    <mergeCell ref="H2:I2"/>
  </mergeCells>
  <phoneticPr fontId="4" type="noConversion"/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3fe6e8b-e724-4ddb-b4b3-18c8feb62e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28CDC7F7405B409AF07461993E642D" ma:contentTypeVersion="18" ma:contentTypeDescription="Crear nuevo documento." ma:contentTypeScope="" ma:versionID="b310fb61144ed1aff5e1e8d87a909888">
  <xsd:schema xmlns:xsd="http://www.w3.org/2001/XMLSchema" xmlns:xs="http://www.w3.org/2001/XMLSchema" xmlns:p="http://schemas.microsoft.com/office/2006/metadata/properties" xmlns:ns1="http://schemas.microsoft.com/sharepoint/v3" xmlns:ns3="d3fe6e8b-e724-4ddb-b4b3-18c8feb62e71" xmlns:ns4="43a0f58c-2e93-4dab-bfee-d08f43166e26" targetNamespace="http://schemas.microsoft.com/office/2006/metadata/properties" ma:root="true" ma:fieldsID="0e19b1108e757d3feb26e37d1b57f48a" ns1:_="" ns3:_="" ns4:_="">
    <xsd:import namespace="http://schemas.microsoft.com/sharepoint/v3"/>
    <xsd:import namespace="d3fe6e8b-e724-4ddb-b4b3-18c8feb62e71"/>
    <xsd:import namespace="43a0f58c-2e93-4dab-bfee-d08f43166e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6e8b-e724-4ddb-b4b3-18c8feb62e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f58c-2e93-4dab-bfee-d08f43166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88B4E2-BDE0-4170-915C-8123093118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0AF4BB-C44E-4AD3-955F-7913542FB053}">
  <ds:schemaRefs>
    <ds:schemaRef ds:uri="http://schemas.microsoft.com/office/2006/metadata/properties"/>
    <ds:schemaRef ds:uri="d3fe6e8b-e724-4ddb-b4b3-18c8feb62e71"/>
    <ds:schemaRef ds:uri="http://www.w3.org/XML/1998/namespace"/>
    <ds:schemaRef ds:uri="http://purl.org/dc/elements/1.1/"/>
    <ds:schemaRef ds:uri="43a0f58c-2e93-4dab-bfee-d08f43166e26"/>
    <ds:schemaRef ds:uri="http://purl.org/dc/dcmitype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2315591-C9C4-48BB-AF99-511E422C3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3fe6e8b-e724-4ddb-b4b3-18c8feb62e71"/>
    <ds:schemaRef ds:uri="43a0f58c-2e93-4dab-bfee-d08f43166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Angelica Cecilia Puello Coronado</dc:creator>
  <cp:keywords/>
  <dc:description/>
  <cp:lastModifiedBy>BEYTY CAMARGO MARTINEZ</cp:lastModifiedBy>
  <cp:revision>2</cp:revision>
  <dcterms:created xsi:type="dcterms:W3CDTF">2017-08-01T15:45:58Z</dcterms:created>
  <dcterms:modified xsi:type="dcterms:W3CDTF">2026-04-13T19:50:51Z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0x0101000A28CDC7F7405B409AF07461993E642D</vt:lpwstr>
  </property>
</Properties>
</file>