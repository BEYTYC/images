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posgradosfacam\Desktop\"/>
    </mc:Choice>
  </mc:AlternateContent>
  <xr:revisionPtr revIDLastSave="0" documentId="13_ncr:1_{DB0A0066-AF71-4D56-BBEC-B8C8209113DC}" xr6:coauthVersionLast="47" xr6:coauthVersionMax="47" xr10:uidLastSave="{00000000-0000-0000-0000-000000000000}"/>
  <bookViews>
    <workbookView showHorizontalScroll="0" showSheetTabs="0" xWindow="-120" yWindow="-120" windowWidth="29040" windowHeight="15720" xr2:uid="{00000000-000D-0000-FFFF-FFFF00000000}"/>
  </bookViews>
  <sheets>
    <sheet name="Balance" sheetId="1" r:id="rId1"/>
    <sheet name="Notas" sheetId="2" r:id="rId2"/>
    <sheet name="Optativas" sheetId="7" r:id="rId3"/>
    <sheet name="Electivas" sheetId="9" r:id="rId4"/>
    <sheet name="Equivalencia" sheetId="8" r:id="rId5"/>
  </sheets>
  <definedNames>
    <definedName name="_xlnm._FilterDatabase" localSheetId="0" hidden="1">Balance!$C$11:$L$33</definedName>
    <definedName name="_xlnm._FilterDatabase" localSheetId="4" hidden="1">Equivalencia!$A$1:$I$243</definedName>
    <definedName name="_xlnm._FilterDatabase" localSheetId="1" hidden="1">Notas!$A$1:$U$351</definedName>
    <definedName name="_xlnm.Print_Area" localSheetId="0">Balance!$C$3:$L$47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33" i="1" l="1"/>
  <c r="G32" i="1"/>
  <c r="G31" i="1"/>
  <c r="D7" i="7" l="1"/>
  <c r="D8" i="7"/>
  <c r="D9" i="7"/>
  <c r="D10" i="7"/>
  <c r="D11" i="7"/>
  <c r="D12" i="7"/>
  <c r="D13" i="7"/>
  <c r="F8" i="1" l="1"/>
  <c r="H32" i="1" l="1"/>
  <c r="L9" i="1"/>
  <c r="H4" i="7" l="1"/>
  <c r="H5" i="7"/>
  <c r="H6" i="7"/>
  <c r="H7" i="7"/>
  <c r="H8" i="7"/>
  <c r="H9" i="7"/>
  <c r="H10" i="7"/>
  <c r="H11" i="7"/>
  <c r="H12" i="7"/>
  <c r="H13" i="7"/>
  <c r="G12" i="1" l="1"/>
  <c r="H12" i="1" s="1"/>
  <c r="G13" i="1"/>
  <c r="H13" i="1" s="1"/>
  <c r="G14" i="1"/>
  <c r="H14" i="1" s="1"/>
  <c r="H33" i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15" i="1"/>
  <c r="H15" i="1" s="1"/>
  <c r="G30" i="1"/>
  <c r="H30" i="1" s="1"/>
  <c r="G26" i="1"/>
  <c r="H26" i="1" s="1"/>
  <c r="G27" i="1"/>
  <c r="H27" i="1" s="1"/>
  <c r="G28" i="1"/>
  <c r="H28" i="1" s="1"/>
  <c r="G29" i="1"/>
  <c r="H29" i="1" s="1"/>
  <c r="G16" i="1"/>
  <c r="H16" i="1" s="1"/>
  <c r="H31" i="1"/>
  <c r="C5" i="7"/>
  <c r="C6" i="7"/>
  <c r="C7" i="7"/>
  <c r="C8" i="7"/>
  <c r="C9" i="7"/>
  <c r="C10" i="7"/>
  <c r="C11" i="7"/>
  <c r="C12" i="7"/>
  <c r="C13" i="7"/>
  <c r="C4" i="7"/>
  <c r="K23" i="1" l="1"/>
  <c r="L23" i="1"/>
  <c r="K22" i="1"/>
  <c r="L22" i="1"/>
  <c r="K21" i="1"/>
  <c r="L21" i="1"/>
  <c r="K17" i="1"/>
  <c r="L17" i="1"/>
  <c r="L15" i="1"/>
  <c r="K15" i="1"/>
  <c r="L16" i="1"/>
  <c r="K16" i="1"/>
  <c r="K32" i="1"/>
  <c r="L32" i="1"/>
  <c r="K33" i="1"/>
  <c r="L33" i="1"/>
  <c r="K31" i="1"/>
  <c r="L31" i="1"/>
  <c r="L13" i="1"/>
  <c r="K13" i="1"/>
  <c r="L14" i="1"/>
  <c r="K14" i="1"/>
  <c r="L18" i="1"/>
  <c r="K18" i="1"/>
  <c r="K28" i="1"/>
  <c r="L28" i="1"/>
  <c r="L30" i="1" l="1"/>
  <c r="L27" i="1"/>
  <c r="L29" i="1"/>
  <c r="L19" i="1"/>
  <c r="L25" i="1"/>
  <c r="L24" i="1"/>
  <c r="L20" i="1"/>
  <c r="L26" i="1"/>
  <c r="L12" i="1"/>
  <c r="K24" i="1"/>
  <c r="K25" i="1"/>
  <c r="L8" i="1"/>
  <c r="K12" i="1" l="1"/>
  <c r="K20" i="1" l="1"/>
  <c r="K26" i="1" l="1"/>
  <c r="K19" i="1" l="1"/>
  <c r="K27" i="1"/>
  <c r="K29" i="1" l="1"/>
  <c r="K30" i="1" l="1"/>
  <c r="J35" i="1" l="1"/>
  <c r="J36" i="1" l="1"/>
</calcChain>
</file>

<file path=xl/sharedStrings.xml><?xml version="1.0" encoding="utf-8"?>
<sst xmlns="http://schemas.openxmlformats.org/spreadsheetml/2006/main" count="717" uniqueCount="596">
  <si>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</si>
  <si>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</si>
  <si>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</si>
  <si>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</si>
  <si>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</si>
  <si>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r>
      <t xml:space="preserve">Página 
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de 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</si>
  <si>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</si>
  <si>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</si>
  <si>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</si>
  <si>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</si>
  <si>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ADMINISTRACIÓN MARÍTIMA</t>
  </si>
  <si>
    <t>Periodo de terminación:</t>
  </si>
  <si>
    <t>COD.</t>
  </si>
  <si>
    <t>PÉNSUM VIGENTE</t>
  </si>
  <si>
    <t>PÉNSUM CURSADO</t>
  </si>
  <si>
    <t>CRÉDITOS</t>
  </si>
  <si>
    <t>NOTA</t>
  </si>
  <si>
    <t>HAB.</t>
  </si>
  <si>
    <t>Administración</t>
  </si>
  <si>
    <t>AM201</t>
  </si>
  <si>
    <t>Administración General</t>
  </si>
  <si>
    <t>AM202</t>
  </si>
  <si>
    <t>AM203</t>
  </si>
  <si>
    <t>AM205</t>
  </si>
  <si>
    <t>AM211</t>
  </si>
  <si>
    <t>Gerencia de Proyectos</t>
  </si>
  <si>
    <t>AM216</t>
  </si>
  <si>
    <t>Gerencia Estratégica</t>
  </si>
  <si>
    <t>AM222</t>
  </si>
  <si>
    <t>Gerencia de Mercadeo</t>
  </si>
  <si>
    <t>AM715</t>
  </si>
  <si>
    <t>AM101</t>
  </si>
  <si>
    <t>AM102</t>
  </si>
  <si>
    <t>AM103</t>
  </si>
  <si>
    <t>AM105</t>
  </si>
  <si>
    <t>AM106</t>
  </si>
  <si>
    <t>AM108</t>
  </si>
  <si>
    <t>Comercio Exterior</t>
  </si>
  <si>
    <t>CB401</t>
  </si>
  <si>
    <t>Estadística Descriptiva y Probabilidad</t>
  </si>
  <si>
    <t>CB402</t>
  </si>
  <si>
    <t>CB100</t>
  </si>
  <si>
    <t>CB112</t>
  </si>
  <si>
    <t>Cálculo Diferencial</t>
  </si>
  <si>
    <t>CB113</t>
  </si>
  <si>
    <t>Cálculo Integral</t>
  </si>
  <si>
    <t>CB107</t>
  </si>
  <si>
    <t>CB109</t>
  </si>
  <si>
    <t>CB108</t>
  </si>
  <si>
    <t>AM401</t>
  </si>
  <si>
    <t>AM402</t>
  </si>
  <si>
    <t>Contabilidad General</t>
  </si>
  <si>
    <t>AM403</t>
  </si>
  <si>
    <t>Contabilidad de Costos</t>
  </si>
  <si>
    <t>AM405</t>
  </si>
  <si>
    <t>AM407</t>
  </si>
  <si>
    <t>Presupuesto y Tesorería</t>
  </si>
  <si>
    <t>AM601</t>
  </si>
  <si>
    <t>Régimen Fiscal y Control Interno</t>
  </si>
  <si>
    <t>AM410</t>
  </si>
  <si>
    <t>Auditoria</t>
  </si>
  <si>
    <t>AM603</t>
  </si>
  <si>
    <t>AM308</t>
  </si>
  <si>
    <t>Manejo de Almacenes</t>
  </si>
  <si>
    <t>AM309</t>
  </si>
  <si>
    <t>Investigación de Operaciones</t>
  </si>
  <si>
    <t>AM314</t>
  </si>
  <si>
    <t>AM700</t>
  </si>
  <si>
    <t>AM701</t>
  </si>
  <si>
    <t>Logística General</t>
  </si>
  <si>
    <t>AM705</t>
  </si>
  <si>
    <t>AM707</t>
  </si>
  <si>
    <t>AM710</t>
  </si>
  <si>
    <t>AM711</t>
  </si>
  <si>
    <t>AM712</t>
  </si>
  <si>
    <t>AM713</t>
  </si>
  <si>
    <t>GL704</t>
  </si>
  <si>
    <t>CB404</t>
  </si>
  <si>
    <t>Informática</t>
  </si>
  <si>
    <t>CS112</t>
  </si>
  <si>
    <t>Derecho Constitucional</t>
  </si>
  <si>
    <t>CS114</t>
  </si>
  <si>
    <t>Derecho Laboral y Administrativo</t>
  </si>
  <si>
    <t>CS131</t>
  </si>
  <si>
    <t>Fundamentos de Liderazgo</t>
  </si>
  <si>
    <t>CS200</t>
  </si>
  <si>
    <t>Técnicas de Expresión Oral y Escrita</t>
  </si>
  <si>
    <t>CS319</t>
  </si>
  <si>
    <t>CS400</t>
  </si>
  <si>
    <t>CS401</t>
  </si>
  <si>
    <t>CS711</t>
  </si>
  <si>
    <t>CS712</t>
  </si>
  <si>
    <t>CS713</t>
  </si>
  <si>
    <t>Electivas</t>
  </si>
  <si>
    <t>TOTAL CRÉDITOS APROBADOS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</si>
  <si>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</si>
  <si>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</si>
  <si>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t>Jefe de Programa</t>
  </si>
  <si>
    <t>Decano de Facultad</t>
  </si>
  <si>
    <t>CÓD</t>
  </si>
  <si>
    <t>ASIGNATURA</t>
  </si>
  <si>
    <t>CRÉD</t>
  </si>
  <si>
    <t>AM801</t>
  </si>
  <si>
    <t>GL733</t>
  </si>
  <si>
    <t>AM803</t>
  </si>
  <si>
    <t>CÓDIGO</t>
  </si>
  <si>
    <t>Economía I Principios</t>
  </si>
  <si>
    <t>Microeconomía</t>
  </si>
  <si>
    <t>Economía III (Macroeconomía)</t>
  </si>
  <si>
    <t>Economía Colombiana</t>
  </si>
  <si>
    <t>Economía Vi (Internacional y Maritima)</t>
  </si>
  <si>
    <t>AM116</t>
  </si>
  <si>
    <t>Principios De Economia</t>
  </si>
  <si>
    <t>AM229</t>
  </si>
  <si>
    <t>AM200</t>
  </si>
  <si>
    <t>Procesos Administrativos</t>
  </si>
  <si>
    <t>Administración II (Planeación y Organización)</t>
  </si>
  <si>
    <t>Administración III (Dirección y Control)</t>
  </si>
  <si>
    <t>Administración V (Talento Humano)</t>
  </si>
  <si>
    <t>AM207</t>
  </si>
  <si>
    <t>Gerencia Sistemas de Información</t>
  </si>
  <si>
    <t>AM208</t>
  </si>
  <si>
    <t>Desarrollo Organizacional</t>
  </si>
  <si>
    <t>AM212</t>
  </si>
  <si>
    <t>Gestión Administrativa y Portuaria</t>
  </si>
  <si>
    <t>AM215</t>
  </si>
  <si>
    <t>Habilidades Gerenciales</t>
  </si>
  <si>
    <t>AM217</t>
  </si>
  <si>
    <t>Sistemas Integrados de Gestión</t>
  </si>
  <si>
    <t>AM219</t>
  </si>
  <si>
    <t>Gerencia de Sistemas de Información</t>
  </si>
  <si>
    <t>AM220</t>
  </si>
  <si>
    <t>Investigación de Mercados</t>
  </si>
  <si>
    <t>AM210</t>
  </si>
  <si>
    <t>Mercadotécnia</t>
  </si>
  <si>
    <t>AM227</t>
  </si>
  <si>
    <t>Comunicación Organizacional</t>
  </si>
  <si>
    <t>Control fe Almacenes</t>
  </si>
  <si>
    <t>AM310</t>
  </si>
  <si>
    <t>Métodos y Programacion Lineal</t>
  </si>
  <si>
    <t>AM316</t>
  </si>
  <si>
    <t>Administración de Operaciones</t>
  </si>
  <si>
    <t>Logística de Producción</t>
  </si>
  <si>
    <t>AM317</t>
  </si>
  <si>
    <t>Herramientas Para la Mejora Continua</t>
  </si>
  <si>
    <t>Principios de Contabilidad</t>
  </si>
  <si>
    <t>Contabilidad II</t>
  </si>
  <si>
    <t>Contabilidad V Gerencial</t>
  </si>
  <si>
    <t>AM411</t>
  </si>
  <si>
    <t>Seguros Marítimos</t>
  </si>
  <si>
    <t>AM412</t>
  </si>
  <si>
    <t>Mercado de Capital</t>
  </si>
  <si>
    <t>AM414</t>
  </si>
  <si>
    <t>AM500</t>
  </si>
  <si>
    <t>Normatividad Maritima y Fluvial</t>
  </si>
  <si>
    <t>AM670</t>
  </si>
  <si>
    <t>Régimen Fiscal Y Control Interno</t>
  </si>
  <si>
    <t>AM607</t>
  </si>
  <si>
    <t>Fundamentos De Regimen Fiscal Y Control Interno</t>
  </si>
  <si>
    <t>Contratación Administrativa</t>
  </si>
  <si>
    <t>Fundamentos de Logística Naval</t>
  </si>
  <si>
    <t>AM702</t>
  </si>
  <si>
    <t>Logística Ii (Abastecimiento)</t>
  </si>
  <si>
    <t>AM704</t>
  </si>
  <si>
    <t>Fundamentos Logistica</t>
  </si>
  <si>
    <t>Gestión Administrativa Maritima y Portuaria</t>
  </si>
  <si>
    <t>Fundamentos de Operaciones Portuarias</t>
  </si>
  <si>
    <t>Sistemas de Información Logística</t>
  </si>
  <si>
    <t>Prácticas de Procesos Logísticos</t>
  </si>
  <si>
    <t>Indicadores de Gestión Logística</t>
  </si>
  <si>
    <t>Seminario Administración Maritima</t>
  </si>
  <si>
    <t>AM223</t>
  </si>
  <si>
    <t>Seminario de Administración Marítima</t>
  </si>
  <si>
    <t>AM716</t>
  </si>
  <si>
    <t>Modelo Gestión del Poder Marítimo</t>
  </si>
  <si>
    <t>AM717</t>
  </si>
  <si>
    <t>Seminario Administración</t>
  </si>
  <si>
    <t>AM718</t>
  </si>
  <si>
    <t>Normatividad Maritima Y Fluvial</t>
  </si>
  <si>
    <t>Electiva I</t>
  </si>
  <si>
    <t>AM802</t>
  </si>
  <si>
    <t>Electiva II</t>
  </si>
  <si>
    <t>Electiva III</t>
  </si>
  <si>
    <t>AM804</t>
  </si>
  <si>
    <t>Electiva IV</t>
  </si>
  <si>
    <t>AM805</t>
  </si>
  <si>
    <t>Electiva V</t>
  </si>
  <si>
    <t>AM806</t>
  </si>
  <si>
    <t>Electiva VI</t>
  </si>
  <si>
    <t>AM807</t>
  </si>
  <si>
    <t>Electiva VII</t>
  </si>
  <si>
    <t>AM808</t>
  </si>
  <si>
    <t>Electiva VIII</t>
  </si>
  <si>
    <t>AM810</t>
  </si>
  <si>
    <t>Salud y Seguridad En El Trabajo</t>
  </si>
  <si>
    <t>Fundamentos de Matemáticas</t>
  </si>
  <si>
    <t>Matemática Aplicada Para Administradores</t>
  </si>
  <si>
    <t>Matemática Financiera</t>
  </si>
  <si>
    <t>Álgebra Lineal</t>
  </si>
  <si>
    <t>CB101</t>
  </si>
  <si>
    <t>Matemáticas I</t>
  </si>
  <si>
    <t>CB102</t>
  </si>
  <si>
    <t>Matemáticas II</t>
  </si>
  <si>
    <t>CB117</t>
  </si>
  <si>
    <t>Calculo I</t>
  </si>
  <si>
    <t>CB202</t>
  </si>
  <si>
    <t>Laboratorio de Física Mecánica</t>
  </si>
  <si>
    <t>CB211</t>
  </si>
  <si>
    <t>Física Mecánica - Laboratorio</t>
  </si>
  <si>
    <t>CB201</t>
  </si>
  <si>
    <t>Física Mecánica</t>
  </si>
  <si>
    <t>CB403</t>
  </si>
  <si>
    <t>Estadística Y Probabilidad</t>
  </si>
  <si>
    <t>Estadística Inferencial</t>
  </si>
  <si>
    <t>IN421</t>
  </si>
  <si>
    <t>Herramientas computacionales</t>
  </si>
  <si>
    <t>IN422</t>
  </si>
  <si>
    <t>CB405</t>
  </si>
  <si>
    <t xml:space="preserve">Estadística Descriptiva y Probabilidad </t>
  </si>
  <si>
    <t>CN101</t>
  </si>
  <si>
    <t>Orientación Naval</t>
  </si>
  <si>
    <t>CN200</t>
  </si>
  <si>
    <t>Nociones de Táctica</t>
  </si>
  <si>
    <t>CN202</t>
  </si>
  <si>
    <t>Tactica I</t>
  </si>
  <si>
    <t>CN204</t>
  </si>
  <si>
    <t>Táctica Naval II</t>
  </si>
  <si>
    <t>CN205</t>
  </si>
  <si>
    <t>Táctica Naval I</t>
  </si>
  <si>
    <t xml:space="preserve">Táctica Naval I </t>
  </si>
  <si>
    <t>CN220</t>
  </si>
  <si>
    <t>Operaciones Navales</t>
  </si>
  <si>
    <t>CN300</t>
  </si>
  <si>
    <t>Marinería</t>
  </si>
  <si>
    <t>CN301</t>
  </si>
  <si>
    <t>Navegación Costera</t>
  </si>
  <si>
    <t>CN320</t>
  </si>
  <si>
    <t>CN310</t>
  </si>
  <si>
    <t>Comunicaciones Básicas</t>
  </si>
  <si>
    <t>CN311</t>
  </si>
  <si>
    <t>Comunicaciones Electromagnéticas</t>
  </si>
  <si>
    <t>CN322</t>
  </si>
  <si>
    <t>Navegación II</t>
  </si>
  <si>
    <t>CN324</t>
  </si>
  <si>
    <t>Navegación III - Astronómica</t>
  </si>
  <si>
    <t>CN326</t>
  </si>
  <si>
    <t>Navegacion Iv - Electronica</t>
  </si>
  <si>
    <t>CN330</t>
  </si>
  <si>
    <t>Maniobras</t>
  </si>
  <si>
    <t>CN335</t>
  </si>
  <si>
    <t>Navegación Astronómica</t>
  </si>
  <si>
    <t>CN334</t>
  </si>
  <si>
    <t>CN337</t>
  </si>
  <si>
    <t>Navegación Electrónica</t>
  </si>
  <si>
    <t>Navegación IV - Electrónica</t>
  </si>
  <si>
    <t>CN400</t>
  </si>
  <si>
    <t>Fundamentos de Sistema de Armas</t>
  </si>
  <si>
    <t>CN404</t>
  </si>
  <si>
    <t>Sistema de Armas Electrónicas</t>
  </si>
  <si>
    <t>CN408</t>
  </si>
  <si>
    <t>CN411</t>
  </si>
  <si>
    <t>Sistemas de Armas Sensoricas</t>
  </si>
  <si>
    <t>CN402</t>
  </si>
  <si>
    <t>Sistema De Armas II (Sensoricas)</t>
  </si>
  <si>
    <t>CN420</t>
  </si>
  <si>
    <t>Trabajo de Grado</t>
  </si>
  <si>
    <t>CS001</t>
  </si>
  <si>
    <t>Fundamentos De Derecho Constitucional, Ddhh Y Dih</t>
  </si>
  <si>
    <t>CS002</t>
  </si>
  <si>
    <t>Fundamentos De Derecho Penal Militar</t>
  </si>
  <si>
    <t>CS003</t>
  </si>
  <si>
    <t>Fundamentos De Liderazgo Y Ética Militar</t>
  </si>
  <si>
    <t>CS100</t>
  </si>
  <si>
    <t>Psicología General</t>
  </si>
  <si>
    <t>CS101</t>
  </si>
  <si>
    <t>Derechos Humanos</t>
  </si>
  <si>
    <t>CS103</t>
  </si>
  <si>
    <t>Derecho del Mar y Fluvial</t>
  </si>
  <si>
    <t>CS104</t>
  </si>
  <si>
    <t>Fundamentos Derecho Del Mar Y Fluvial</t>
  </si>
  <si>
    <t>CS106</t>
  </si>
  <si>
    <t>Derecho Constitucional, Ddhh Y Diccaa</t>
  </si>
  <si>
    <t>CS111</t>
  </si>
  <si>
    <t>Sociología General</t>
  </si>
  <si>
    <t>CN605</t>
  </si>
  <si>
    <t>CS118</t>
  </si>
  <si>
    <t>Derecho Penal Militar</t>
  </si>
  <si>
    <t>CS119</t>
  </si>
  <si>
    <t>Procedimientos Disciplinarios y Administrativos</t>
  </si>
  <si>
    <t>CS120</t>
  </si>
  <si>
    <t>Legislación Ambiental Marina</t>
  </si>
  <si>
    <t>CS126</t>
  </si>
  <si>
    <t>Fundamentos Procedimientos Disciplinario Y Adtivo</t>
  </si>
  <si>
    <t>CS127</t>
  </si>
  <si>
    <t>Fundamentos De Procesos Judiciales</t>
  </si>
  <si>
    <t>CS129</t>
  </si>
  <si>
    <t>Procedimientos Judiciales</t>
  </si>
  <si>
    <t>CS145</t>
  </si>
  <si>
    <t>CS132</t>
  </si>
  <si>
    <t>Liderazgo Tactico</t>
  </si>
  <si>
    <t>CS141</t>
  </si>
  <si>
    <t>Derechos Humanos y Derecho Internacional Humanitario</t>
  </si>
  <si>
    <t>CS171</t>
  </si>
  <si>
    <t>DH y DIH - Conflictos Armados</t>
  </si>
  <si>
    <t>CS142</t>
  </si>
  <si>
    <t>Liderazgo Militar</t>
  </si>
  <si>
    <t>Liderazgo Táctico</t>
  </si>
  <si>
    <t>CS146</t>
  </si>
  <si>
    <t>Psicologia General</t>
  </si>
  <si>
    <t>CS150</t>
  </si>
  <si>
    <t>Regimen Disciplinario Y Administativo</t>
  </si>
  <si>
    <t>CS151</t>
  </si>
  <si>
    <t>Regimen Penal Militar</t>
  </si>
  <si>
    <t>CS152</t>
  </si>
  <si>
    <t>Derechos Humanos Y Dih</t>
  </si>
  <si>
    <t>CS201</t>
  </si>
  <si>
    <t>Metodología de Estudio</t>
  </si>
  <si>
    <t>CS204</t>
  </si>
  <si>
    <t>Etica I</t>
  </si>
  <si>
    <t>CS205</t>
  </si>
  <si>
    <t>Historia Naval</t>
  </si>
  <si>
    <t>CS209</t>
  </si>
  <si>
    <t>Epistemología</t>
  </si>
  <si>
    <t>CS214</t>
  </si>
  <si>
    <t>Fundamentos De Historia Naval</t>
  </si>
  <si>
    <t>CS217</t>
  </si>
  <si>
    <t>Etica Y Liderazgo</t>
  </si>
  <si>
    <t>CS221</t>
  </si>
  <si>
    <t>Historia Militar</t>
  </si>
  <si>
    <t>CS300</t>
  </si>
  <si>
    <t>Inglés</t>
  </si>
  <si>
    <t>CS301</t>
  </si>
  <si>
    <t>Inglés Nivel 2</t>
  </si>
  <si>
    <t>CS302</t>
  </si>
  <si>
    <t>Inglés Nivel 3</t>
  </si>
  <si>
    <t>CS303</t>
  </si>
  <si>
    <t>Inglés Nivel 4</t>
  </si>
  <si>
    <t>CS304</t>
  </si>
  <si>
    <t>Inglés Nivel 5</t>
  </si>
  <si>
    <t>CS305</t>
  </si>
  <si>
    <t>Inglés Nivel 6</t>
  </si>
  <si>
    <t>CS306</t>
  </si>
  <si>
    <t>Inglés Nivel 7</t>
  </si>
  <si>
    <t>CS307</t>
  </si>
  <si>
    <t>Inglés Nivel 8</t>
  </si>
  <si>
    <t>CS314</t>
  </si>
  <si>
    <t>Idiomas I</t>
  </si>
  <si>
    <t>CS315</t>
  </si>
  <si>
    <t>Idiomas II</t>
  </si>
  <si>
    <t>CS316</t>
  </si>
  <si>
    <t>Idiomas III</t>
  </si>
  <si>
    <t>CS317</t>
  </si>
  <si>
    <t>Idiomas IV</t>
  </si>
  <si>
    <t>CS318</t>
  </si>
  <si>
    <t>Idiomas V</t>
  </si>
  <si>
    <t>Idiomas VI</t>
  </si>
  <si>
    <t>Ética Básica</t>
  </si>
  <si>
    <t>Etica Militar (etica Profesional)</t>
  </si>
  <si>
    <t>CS208</t>
  </si>
  <si>
    <t>Ética Profesional</t>
  </si>
  <si>
    <t>CS402</t>
  </si>
  <si>
    <t>CS203</t>
  </si>
  <si>
    <t xml:space="preserve">Ética Profesional </t>
  </si>
  <si>
    <t>Investigación Formativa I</t>
  </si>
  <si>
    <t>Investigación Formativa II</t>
  </si>
  <si>
    <t>Investigación Formativa III</t>
  </si>
  <si>
    <t>Logística de Alto Nivel</t>
  </si>
  <si>
    <t>Logística Inversa</t>
  </si>
  <si>
    <t>IM001</t>
  </si>
  <si>
    <t>Fundamentos De Comunicaciones Im</t>
  </si>
  <si>
    <t>IM002</t>
  </si>
  <si>
    <t>Fundamentos De Ideologias Basicas</t>
  </si>
  <si>
    <t>IM004</t>
  </si>
  <si>
    <t>Fundamentos De Tactica Basica</t>
  </si>
  <si>
    <t>IM005</t>
  </si>
  <si>
    <t>Fundamentos De Peloton De Fusileros</t>
  </si>
  <si>
    <t>IM006</t>
  </si>
  <si>
    <t>Fundamentos De Administracion Del Riesgo</t>
  </si>
  <si>
    <t>IM008</t>
  </si>
  <si>
    <t>Fundamentos De Operaciones Anfibias</t>
  </si>
  <si>
    <t>IM101</t>
  </si>
  <si>
    <t>Fundamentos Armamento Y Tiro</t>
  </si>
  <si>
    <t>IM109</t>
  </si>
  <si>
    <t>Fundamentos De Tactica Regular</t>
  </si>
  <si>
    <t>IM110</t>
  </si>
  <si>
    <t>Pelotón de fusileros</t>
  </si>
  <si>
    <t>IM122</t>
  </si>
  <si>
    <t>Pelotón de Fusileros</t>
  </si>
  <si>
    <t>IM114</t>
  </si>
  <si>
    <t>Táctica Básica</t>
  </si>
  <si>
    <t>IM115</t>
  </si>
  <si>
    <t>Tactica Ii</t>
  </si>
  <si>
    <t>IM116</t>
  </si>
  <si>
    <t>Táctica Regular</t>
  </si>
  <si>
    <t>IM117</t>
  </si>
  <si>
    <t>Táctica Irregular</t>
  </si>
  <si>
    <t>IM12</t>
  </si>
  <si>
    <t>Planeamiento Táctico</t>
  </si>
  <si>
    <t>IM120</t>
  </si>
  <si>
    <t>Administración del riesgo</t>
  </si>
  <si>
    <t>IM123</t>
  </si>
  <si>
    <t>Tactica Iii</t>
  </si>
  <si>
    <t>IM124</t>
  </si>
  <si>
    <t>Modulo Tecnicas De Peloton</t>
  </si>
  <si>
    <t>IM126</t>
  </si>
  <si>
    <t>Accion Integral</t>
  </si>
  <si>
    <t>IM256</t>
  </si>
  <si>
    <t>Acción Integral</t>
  </si>
  <si>
    <t>IM240</t>
  </si>
  <si>
    <t>IM140</t>
  </si>
  <si>
    <t>Operaciones Anfibias</t>
  </si>
  <si>
    <t>IM142</t>
  </si>
  <si>
    <t>IM143</t>
  </si>
  <si>
    <t>Fundamentos De Operaciones Fluviales</t>
  </si>
  <si>
    <t>IM144</t>
  </si>
  <si>
    <t>Operaciones Fluviales</t>
  </si>
  <si>
    <t>IM201</t>
  </si>
  <si>
    <t>IM148</t>
  </si>
  <si>
    <t>Comando Unidades Fluviales</t>
  </si>
  <si>
    <t>IM149</t>
  </si>
  <si>
    <t>IM202</t>
  </si>
  <si>
    <t>Comunicaciones Im</t>
  </si>
  <si>
    <t>IM200</t>
  </si>
  <si>
    <t>Comunicaciones IM</t>
  </si>
  <si>
    <t>IM204</t>
  </si>
  <si>
    <t>Fundamentos De Inteligencia Basica, Contrainteligencia</t>
  </si>
  <si>
    <t>IM205</t>
  </si>
  <si>
    <t>Organizacion Para El Combate</t>
  </si>
  <si>
    <t>IM206</t>
  </si>
  <si>
    <t>Modulo Tecnicas De Equipo Y Escuadra</t>
  </si>
  <si>
    <t>IM207</t>
  </si>
  <si>
    <t>Inteligencia Basica Y Contra Inteligencia</t>
  </si>
  <si>
    <t>IM209</t>
  </si>
  <si>
    <t>Armamento Ii</t>
  </si>
  <si>
    <t>IM210</t>
  </si>
  <si>
    <t>Inteligencia Militar</t>
  </si>
  <si>
    <t>IM212</t>
  </si>
  <si>
    <t>Contrainteligencia Militar</t>
  </si>
  <si>
    <t>IM213</t>
  </si>
  <si>
    <t>Inteligencia Básica, Contrainteligencia y Seguridad Militar</t>
  </si>
  <si>
    <t>IM218</t>
  </si>
  <si>
    <t>Módulo Entrenamiento Básico</t>
  </si>
  <si>
    <t>IM219</t>
  </si>
  <si>
    <t>Módulo Entrenamiento Avanzado</t>
  </si>
  <si>
    <t>IM255</t>
  </si>
  <si>
    <t>IM221</t>
  </si>
  <si>
    <t>Modulo De Entrenamiento Basico</t>
  </si>
  <si>
    <t>IM222</t>
  </si>
  <si>
    <t>Plana Mayor</t>
  </si>
  <si>
    <t>IM225</t>
  </si>
  <si>
    <t>Fund. De Operaciones Proyección Y Contraproyección</t>
  </si>
  <si>
    <t>IM227</t>
  </si>
  <si>
    <t>Fund. De Factores Ambientales En El Planeamiento Táctico-si</t>
  </si>
  <si>
    <t>IM229</t>
  </si>
  <si>
    <t>Seguridad y Defensa de Bases Fijas</t>
  </si>
  <si>
    <t>IM231</t>
  </si>
  <si>
    <t>Navegación Terrestre</t>
  </si>
  <si>
    <t>IM233</t>
  </si>
  <si>
    <t>Procedimiento De Comando</t>
  </si>
  <si>
    <t>IM235</t>
  </si>
  <si>
    <t>Armamento Im</t>
  </si>
  <si>
    <t>IM253</t>
  </si>
  <si>
    <t>Armamento IM</t>
  </si>
  <si>
    <t>IM232</t>
  </si>
  <si>
    <t>Principios de Armamento y Tiro</t>
  </si>
  <si>
    <t>IM237</t>
  </si>
  <si>
    <t>Derecho Operacional</t>
  </si>
  <si>
    <t>IM239</t>
  </si>
  <si>
    <t>Fundamentos De Accion Integral</t>
  </si>
  <si>
    <t>IM243</t>
  </si>
  <si>
    <t>Procedimientos Y Organización Otan</t>
  </si>
  <si>
    <t>IM248</t>
  </si>
  <si>
    <t>Fundamentos De Plana Mayor</t>
  </si>
  <si>
    <t>IM249</t>
  </si>
  <si>
    <t>Fundamentos De Lecciones Aprendidas</t>
  </si>
  <si>
    <t>IM252</t>
  </si>
  <si>
    <t>Armamento I</t>
  </si>
  <si>
    <t>IM254</t>
  </si>
  <si>
    <t>IM262</t>
  </si>
  <si>
    <t>Modulo Capacidades Fluviales</t>
  </si>
  <si>
    <t>IM302</t>
  </si>
  <si>
    <t>Ideologías Básicas</t>
  </si>
  <si>
    <t>IM350</t>
  </si>
  <si>
    <t>Lecciones Aprendidas</t>
  </si>
  <si>
    <t>IM354</t>
  </si>
  <si>
    <t>IM600</t>
  </si>
  <si>
    <t>Generalidades Del Planeamiento</t>
  </si>
  <si>
    <t>IM601</t>
  </si>
  <si>
    <t>Inteligencia - Picc Digital</t>
  </si>
  <si>
    <t>IN202</t>
  </si>
  <si>
    <t>Maquinaría Naval</t>
  </si>
  <si>
    <t>IN207</t>
  </si>
  <si>
    <t>Control de Averías y Prácticas</t>
  </si>
  <si>
    <t>IN219</t>
  </si>
  <si>
    <t>Fundamentos de Estabilidad</t>
  </si>
  <si>
    <t>IN500</t>
  </si>
  <si>
    <t>Estabilidad</t>
  </si>
  <si>
    <t>IN206</t>
  </si>
  <si>
    <t>IN509</t>
  </si>
  <si>
    <t>Fundamento de Motores</t>
  </si>
  <si>
    <t>IN220</t>
  </si>
  <si>
    <t>Motores</t>
  </si>
  <si>
    <t>IN201</t>
  </si>
  <si>
    <t>Fundamentos de Motores</t>
  </si>
  <si>
    <t>MF201</t>
  </si>
  <si>
    <t>Tiro Militar</t>
  </si>
  <si>
    <t>MF411</t>
  </si>
  <si>
    <t>Velas</t>
  </si>
  <si>
    <t>MF530</t>
  </si>
  <si>
    <t>Defensa Personal</t>
  </si>
  <si>
    <t>OF101</t>
  </si>
  <si>
    <t>Meteorología General</t>
  </si>
  <si>
    <t>OF102</t>
  </si>
  <si>
    <t>Oceanografía General</t>
  </si>
  <si>
    <t>OF126</t>
  </si>
  <si>
    <t>OF201</t>
  </si>
  <si>
    <t xml:space="preserve">Oceanografía General </t>
  </si>
  <si>
    <t>OF115</t>
  </si>
  <si>
    <t>Introducción a la Oceanografía Física</t>
  </si>
  <si>
    <t>OF301</t>
  </si>
  <si>
    <t>Ecología y Contaminación Marina</t>
  </si>
  <si>
    <t>OF310</t>
  </si>
  <si>
    <t>Introducción al Manejo Ambiental</t>
  </si>
  <si>
    <t>OF311</t>
  </si>
  <si>
    <t>Normatividad y Gestión Ambiental</t>
  </si>
  <si>
    <t>OF314</t>
  </si>
  <si>
    <t>Gestión Ambiental</t>
  </si>
  <si>
    <t>OF322</t>
  </si>
  <si>
    <t>Sistema de Información Geográfica</t>
  </si>
  <si>
    <t>MAESTRÍA EN GESTIÓN LOGÍSTICA</t>
  </si>
  <si>
    <t>GL735</t>
  </si>
  <si>
    <t>GL706</t>
  </si>
  <si>
    <t>GL737</t>
  </si>
  <si>
    <t>GL728</t>
  </si>
  <si>
    <t>GL724</t>
  </si>
  <si>
    <t>GL725</t>
  </si>
  <si>
    <t>GL726</t>
  </si>
  <si>
    <t>GL727</t>
  </si>
  <si>
    <t>GL731</t>
  </si>
  <si>
    <t>GL014</t>
  </si>
  <si>
    <t>GL732</t>
  </si>
  <si>
    <t>GL736</t>
  </si>
  <si>
    <t>GL001</t>
  </si>
  <si>
    <t>GL741</t>
  </si>
  <si>
    <t>GL717</t>
  </si>
  <si>
    <t>GL009</t>
  </si>
  <si>
    <t>GL709</t>
  </si>
  <si>
    <t>DCM202</t>
  </si>
  <si>
    <t>GL722</t>
  </si>
  <si>
    <t>GL738</t>
  </si>
  <si>
    <t>Logística Portuaria</t>
  </si>
  <si>
    <t>Comercio Internacional</t>
  </si>
  <si>
    <t>Planeación Estratégica Logística</t>
  </si>
  <si>
    <t>Logística de Aprovisionamiento</t>
  </si>
  <si>
    <t>Proyecto de Investigación</t>
  </si>
  <si>
    <t>Ética y Responsabilidad Social Empresarial</t>
  </si>
  <si>
    <t>Legislación Marítima y Portuaria</t>
  </si>
  <si>
    <t>Redes de Valor y Logística</t>
  </si>
  <si>
    <t>Sistemas Gestión: Calidad, Control y Seguridad</t>
  </si>
  <si>
    <t>Electiva II Lean Logistic</t>
  </si>
  <si>
    <t>Seminario de Investigación II</t>
  </si>
  <si>
    <t>Gestión Financiera en la SCM</t>
  </si>
  <si>
    <t>Transformación Digital: 4,0 y 5,0</t>
  </si>
  <si>
    <t>Logística de Distribución</t>
  </si>
  <si>
    <t>Seminario de Investigación I</t>
  </si>
  <si>
    <t>Entorno Económico Marítimo y Portuario</t>
  </si>
  <si>
    <t>Ingenieria Aplicada a la Logística</t>
  </si>
  <si>
    <t>GL002</t>
  </si>
  <si>
    <t>Tecnología y Sistemas de Información Logística</t>
  </si>
  <si>
    <t>Electiva I (Gerencia de Proyectos en la Logística)</t>
  </si>
  <si>
    <t>GL708</t>
  </si>
  <si>
    <t>Ingeniería Logística</t>
  </si>
  <si>
    <t>Lean Logístic</t>
  </si>
  <si>
    <t>Logística Militar</t>
  </si>
  <si>
    <t>Logística Verde en la Cadena de Suministros</t>
  </si>
  <si>
    <t>Distribución Física en la Logísitca Internacional</t>
  </si>
  <si>
    <t>Transporte Multimodal</t>
  </si>
  <si>
    <t>GL714</t>
  </si>
  <si>
    <t>Logístima Humanitaria</t>
  </si>
  <si>
    <t>GL734</t>
  </si>
  <si>
    <t>GL013</t>
  </si>
  <si>
    <t>GL721</t>
  </si>
  <si>
    <t>GL017</t>
  </si>
  <si>
    <t>Gerencia de Proyectos Logísticos</t>
  </si>
  <si>
    <t>GL016</t>
  </si>
  <si>
    <t>GL750</t>
  </si>
  <si>
    <t>GL751</t>
  </si>
  <si>
    <t>Sistemas Gestión en la SCM</t>
  </si>
  <si>
    <t>Gestión Redes de Valor y Logística</t>
  </si>
  <si>
    <t>GL723</t>
  </si>
  <si>
    <t>GL019</t>
  </si>
  <si>
    <t>GL018</t>
  </si>
  <si>
    <t>GL004</t>
  </si>
  <si>
    <t>GL752</t>
  </si>
  <si>
    <t>Logística de Operaciones</t>
  </si>
  <si>
    <t>Logística Marítima y Portuaria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</si>
</sst>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0.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sz val="8.5"/>
      <color theme="1"/>
      <name val="Aptos Display"/>
      <family val="2"/>
      <scheme val="major"/>
    </font>
    <font>
      <b/>
      <sz val="7"/>
      <color theme="1"/>
      <name val="Aptos Display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</fills>
  <borders count="6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67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textRotation="90"/>
    </xf>
    <xf numFmtId="0" fontId="3" fillId="0" borderId="3" xfId="0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10" fillId="2" borderId="28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1" fontId="10" fillId="2" borderId="21" xfId="0" applyNumberFormat="1" applyFont="1" applyFill="1" applyBorder="1" applyAlignment="1">
      <alignment horizontal="center" vertical="center"/>
    </xf>
    <xf numFmtId="0" fontId="9" fillId="0" borderId="27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3" fillId="0" borderId="30" xfId="0" applyFont="1" applyBorder="1" applyAlignment="1">
      <alignment horizontal="center" vertical="center" textRotation="90"/>
    </xf>
    <xf numFmtId="0" fontId="9" fillId="0" borderId="30" xfId="0" applyFont="1" applyBorder="1" applyAlignment="1">
      <alignment horizontal="center" vertical="center"/>
    </xf>
    <xf numFmtId="0" fontId="9" fillId="0" borderId="30" xfId="0" applyFont="1" applyBorder="1" applyAlignment="1">
      <alignment horizontal="left" vertical="center"/>
    </xf>
    <xf numFmtId="1" fontId="9" fillId="0" borderId="30" xfId="0" applyNumberFormat="1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1" fontId="11" fillId="0" borderId="31" xfId="2" applyNumberFormat="1" applyFont="1" applyBorder="1" applyAlignment="1">
      <alignment horizontal="center" vertical="center"/>
    </xf>
    <xf numFmtId="164" fontId="11" fillId="0" borderId="31" xfId="2" applyNumberFormat="1" applyFont="1" applyBorder="1" applyAlignment="1">
      <alignment horizontal="center" vertical="center"/>
    </xf>
    <xf numFmtId="164" fontId="9" fillId="0" borderId="31" xfId="0" applyNumberFormat="1" applyFont="1" applyBorder="1" applyAlignment="1">
      <alignment horizontal="center" vertical="center"/>
    </xf>
    <xf numFmtId="0" fontId="11" fillId="0" borderId="38" xfId="2" applyFont="1" applyBorder="1" applyAlignment="1">
      <alignment horizontal="center" vertical="center"/>
    </xf>
    <xf numFmtId="1" fontId="11" fillId="0" borderId="37" xfId="2" applyNumberFormat="1" applyFont="1" applyBorder="1" applyAlignment="1">
      <alignment horizontal="center" vertical="center"/>
    </xf>
    <xf numFmtId="164" fontId="11" fillId="0" borderId="37" xfId="2" applyNumberFormat="1" applyFont="1" applyBorder="1" applyAlignment="1">
      <alignment horizontal="center" vertical="center"/>
    </xf>
    <xf numFmtId="164" fontId="9" fillId="0" borderId="37" xfId="0" applyNumberFormat="1" applyFont="1" applyBorder="1" applyAlignment="1">
      <alignment horizontal="center" vertical="center"/>
    </xf>
    <xf numFmtId="14" fontId="9" fillId="0" borderId="42" xfId="0" applyNumberFormat="1" applyFont="1" applyBorder="1" applyAlignment="1">
      <alignment horizontal="left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13" fillId="0" borderId="50" xfId="0" applyFont="1" applyBorder="1" applyAlignment="1">
      <alignment horizontal="center" vertical="center" textRotation="90"/>
    </xf>
    <xf numFmtId="0" fontId="6" fillId="0" borderId="50" xfId="0" applyFont="1" applyBorder="1" applyAlignment="1">
      <alignment horizontal="center" vertical="center"/>
    </xf>
    <xf numFmtId="0" fontId="6" fillId="0" borderId="50" xfId="0" applyFont="1" applyBorder="1" applyAlignment="1">
      <alignment horizontal="left" vertical="center"/>
    </xf>
    <xf numFmtId="1" fontId="6" fillId="0" borderId="50" xfId="0" applyNumberFormat="1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13" fillId="0" borderId="56" xfId="0" applyFont="1" applyBorder="1" applyAlignment="1">
      <alignment horizontal="center" vertical="center" textRotation="90"/>
    </xf>
    <xf numFmtId="0" fontId="6" fillId="0" borderId="56" xfId="0" applyFont="1" applyBorder="1" applyAlignment="1">
      <alignment horizontal="center" vertical="center"/>
    </xf>
    <xf numFmtId="0" fontId="6" fillId="0" borderId="56" xfId="0" applyFont="1" applyBorder="1" applyAlignment="1">
      <alignment horizontal="left" vertical="center"/>
    </xf>
    <xf numFmtId="1" fontId="6" fillId="0" borderId="56" xfId="0" applyNumberFormat="1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15" fontId="12" fillId="0" borderId="0" xfId="0" applyNumberFormat="1" applyFont="1" applyAlignment="1">
      <alignment horizontal="left" vertical="top" indent="1"/>
    </xf>
    <xf numFmtId="0" fontId="6" fillId="6" borderId="0" xfId="0" applyFont="1" applyFill="1" applyAlignment="1">
      <alignment horizontal="center" vertical="center"/>
    </xf>
    <xf numFmtId="0" fontId="9" fillId="0" borderId="22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vertical="center" indent="1"/>
    </xf>
    <xf numFmtId="0" fontId="9" fillId="0" borderId="23" xfId="0" applyFont="1" applyBorder="1" applyAlignment="1">
      <alignment horizontal="left" vertical="center" indent="1"/>
    </xf>
    <xf numFmtId="0" fontId="11" fillId="0" borderId="38" xfId="1" applyNumberFormat="1" applyFont="1" applyBorder="1" applyAlignment="1">
      <alignment vertical="center"/>
    </xf>
    <xf numFmtId="0" fontId="11" fillId="0" borderId="45" xfId="1" applyNumberFormat="1" applyFont="1" applyBorder="1" applyAlignment="1">
      <alignment vertical="center"/>
    </xf>
    <xf numFmtId="0" fontId="11" fillId="0" borderId="35" xfId="1" applyNumberFormat="1" applyFont="1" applyBorder="1" applyAlignment="1">
      <alignment vertical="center"/>
    </xf>
    <xf numFmtId="0" fontId="11" fillId="0" borderId="42" xfId="1" applyNumberFormat="1" applyFont="1" applyBorder="1" applyAlignme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5" fontId="12" fillId="0" borderId="0" xfId="0" applyNumberFormat="1" applyFont="1" applyAlignment="1">
      <alignment horizontal="center" vertical="top"/>
    </xf>
    <xf numFmtId="0" fontId="11" fillId="0" borderId="40" xfId="1" applyNumberFormat="1" applyFont="1" applyBorder="1" applyAlignment="1">
      <alignment vertical="center"/>
    </xf>
    <xf numFmtId="0" fontId="11" fillId="0" borderId="46" xfId="1" applyNumberFormat="1" applyFont="1" applyBorder="1" applyAlignment="1">
      <alignment vertical="center"/>
    </xf>
    <xf numFmtId="1" fontId="11" fillId="0" borderId="39" xfId="2" applyNumberFormat="1" applyFont="1" applyBorder="1" applyAlignment="1">
      <alignment horizontal="center" vertical="center"/>
    </xf>
    <xf numFmtId="164" fontId="11" fillId="0" borderId="39" xfId="2" applyNumberFormat="1" applyFont="1" applyBorder="1" applyAlignment="1">
      <alignment horizontal="center" vertical="center"/>
    </xf>
    <xf numFmtId="164" fontId="9" fillId="0" borderId="39" xfId="0" applyNumberFormat="1" applyFont="1" applyBorder="1" applyAlignment="1">
      <alignment horizontal="center" vertical="center"/>
    </xf>
    <xf numFmtId="0" fontId="11" fillId="0" borderId="47" xfId="2" applyFont="1" applyBorder="1" applyAlignment="1">
      <alignment horizontal="center" vertical="center"/>
    </xf>
    <xf numFmtId="0" fontId="11" fillId="0" borderId="47" xfId="1" applyNumberFormat="1" applyFont="1" applyBorder="1" applyAlignment="1">
      <alignment vertical="center"/>
    </xf>
    <xf numFmtId="0" fontId="11" fillId="0" borderId="48" xfId="1" applyNumberFormat="1" applyFont="1" applyBorder="1" applyAlignment="1">
      <alignment vertical="center"/>
    </xf>
    <xf numFmtId="1" fontId="11" fillId="0" borderId="61" xfId="2" applyNumberFormat="1" applyFont="1" applyBorder="1" applyAlignment="1">
      <alignment horizontal="center" vertical="center"/>
    </xf>
    <xf numFmtId="0" fontId="11" fillId="0" borderId="35" xfId="1" applyNumberFormat="1" applyFont="1" applyBorder="1" applyAlignment="1">
      <alignment horizontal="left" vertical="center"/>
    </xf>
    <xf numFmtId="0" fontId="11" fillId="0" borderId="38" xfId="1" applyNumberFormat="1" applyFont="1" applyBorder="1" applyAlignment="1">
      <alignment horizontal="left" vertical="center"/>
    </xf>
    <xf numFmtId="0" fontId="0" fillId="3" borderId="62" xfId="0" applyFill="1" applyBorder="1" applyAlignment="1">
      <alignment vertical="center"/>
    </xf>
    <xf numFmtId="0" fontId="0" fillId="3" borderId="63" xfId="0" applyFill="1" applyBorder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7" fillId="0" borderId="41" xfId="0" applyFont="1" applyBorder="1" applyAlignment="1">
      <alignment horizontal="left" vertical="center"/>
    </xf>
    <xf numFmtId="0" fontId="17" fillId="0" borderId="46" xfId="0" applyFont="1" applyBorder="1" applyAlignment="1">
      <alignment horizontal="left" vertical="center"/>
    </xf>
    <xf numFmtId="0" fontId="10" fillId="2" borderId="28" xfId="1" applyNumberFormat="1" applyFont="1" applyFill="1" applyBorder="1" applyAlignment="1">
      <alignment horizontal="left" vertical="center"/>
    </xf>
    <xf numFmtId="0" fontId="10" fillId="2" borderId="30" xfId="1" applyNumberFormat="1" applyFont="1" applyFill="1" applyBorder="1" applyAlignment="1">
      <alignment horizontal="left" vertical="center"/>
    </xf>
    <xf numFmtId="0" fontId="6" fillId="0" borderId="21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10" fillId="0" borderId="2" xfId="1" applyNumberFormat="1" applyFont="1" applyBorder="1" applyAlignment="1">
      <alignment horizontal="left" vertical="center" wrapText="1" indent="1"/>
    </xf>
    <xf numFmtId="0" fontId="10" fillId="0" borderId="36" xfId="1" applyNumberFormat="1" applyFont="1" applyBorder="1" applyAlignment="1">
      <alignment horizontal="left" vertical="center" wrapText="1" indent="1"/>
    </xf>
    <xf numFmtId="0" fontId="7" fillId="0" borderId="2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9" fillId="0" borderId="47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7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36" xfId="0" applyFont="1" applyBorder="1" applyAlignment="1">
      <alignment horizontal="left" vertical="center"/>
    </xf>
    <xf numFmtId="0" fontId="17" fillId="0" borderId="42" xfId="0" applyFont="1" applyBorder="1" applyAlignment="1">
      <alignment horizontal="left" vertical="center"/>
    </xf>
    <xf numFmtId="0" fontId="16" fillId="0" borderId="35" xfId="1" applyNumberFormat="1" applyFont="1" applyBorder="1" applyAlignment="1">
      <alignment horizontal="left" vertical="center" indent="1"/>
    </xf>
    <xf numFmtId="0" fontId="16" fillId="0" borderId="36" xfId="1" applyNumberFormat="1" applyFont="1" applyBorder="1" applyAlignment="1">
      <alignment horizontal="left" vertical="center" indent="1"/>
    </xf>
    <xf numFmtId="0" fontId="13" fillId="0" borderId="22" xfId="0" applyFont="1" applyBorder="1" applyAlignment="1">
      <alignment horizontal="center" vertical="center" textRotation="90"/>
    </xf>
    <xf numFmtId="0" fontId="13" fillId="0" borderId="23" xfId="0" applyFont="1" applyBorder="1" applyAlignment="1">
      <alignment horizontal="center" vertical="center" textRotation="90"/>
    </xf>
    <xf numFmtId="0" fontId="13" fillId="0" borderId="24" xfId="0" applyFont="1" applyBorder="1" applyAlignment="1">
      <alignment horizontal="center" vertical="center" textRotation="90"/>
    </xf>
    <xf numFmtId="0" fontId="13" fillId="0" borderId="25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27" xfId="0" applyFont="1" applyBorder="1" applyAlignment="1">
      <alignment horizontal="center" vertical="center" textRotation="90"/>
    </xf>
    <xf numFmtId="0" fontId="16" fillId="0" borderId="26" xfId="1" applyNumberFormat="1" applyFont="1" applyBorder="1" applyAlignment="1">
      <alignment horizontal="left" vertical="center" indent="1"/>
    </xf>
    <xf numFmtId="0" fontId="16" fillId="0" borderId="2" xfId="1" applyNumberFormat="1" applyFont="1" applyBorder="1" applyAlignment="1">
      <alignment horizontal="left" vertical="center" indent="1"/>
    </xf>
    <xf numFmtId="0" fontId="9" fillId="0" borderId="27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0" borderId="44" xfId="0" applyFont="1" applyBorder="1" applyAlignment="1">
      <alignment horizontal="center" vertical="center" wrapText="1"/>
    </xf>
    <xf numFmtId="0" fontId="10" fillId="2" borderId="22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8" fillId="5" borderId="58" xfId="0" applyFont="1" applyFill="1" applyBorder="1" applyAlignment="1">
      <alignment horizontal="center" vertical="center" textRotation="90"/>
    </xf>
    <xf numFmtId="0" fontId="18" fillId="5" borderId="59" xfId="0" applyFont="1" applyFill="1" applyBorder="1" applyAlignment="1">
      <alignment horizontal="center" vertical="center" textRotation="90"/>
    </xf>
    <xf numFmtId="0" fontId="18" fillId="5" borderId="60" xfId="0" applyFont="1" applyFill="1" applyBorder="1" applyAlignment="1">
      <alignment horizontal="center" vertical="center" textRotation="90"/>
    </xf>
    <xf numFmtId="0" fontId="15" fillId="0" borderId="0" xfId="0" applyFont="1" applyAlignment="1">
      <alignment horizontal="center" vertical="center"/>
    </xf>
    <xf numFmtId="0" fontId="8" fillId="2" borderId="35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164" fontId="8" fillId="2" borderId="26" xfId="0" applyNumberFormat="1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center" vertical="center"/>
    </xf>
    <xf numFmtId="164" fontId="8" fillId="2" borderId="27" xfId="0" applyNumberFormat="1" applyFont="1" applyFill="1" applyBorder="1" applyAlignment="1">
      <alignment horizontal="center" vertical="center"/>
    </xf>
    <xf numFmtId="0" fontId="10" fillId="2" borderId="35" xfId="1" applyNumberFormat="1" applyFont="1" applyFill="1" applyBorder="1" applyAlignment="1">
      <alignment horizontal="right" vertical="center" indent="1"/>
    </xf>
    <xf numFmtId="0" fontId="10" fillId="2" borderId="36" xfId="1" applyNumberFormat="1" applyFont="1" applyFill="1" applyBorder="1" applyAlignment="1">
      <alignment horizontal="right" vertical="center" indent="1"/>
    </xf>
    <xf numFmtId="0" fontId="10" fillId="2" borderId="42" xfId="1" applyNumberFormat="1" applyFont="1" applyFill="1" applyBorder="1" applyAlignment="1">
      <alignment horizontal="right" vertical="center" indent="1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2" fillId="0" borderId="26" xfId="0" applyNumberFormat="1" applyFont="1" applyBorder="1" applyAlignment="1">
      <alignment horizontal="left" vertical="top" indent="1"/>
    </xf>
    <xf numFmtId="15" fontId="12" fillId="0" borderId="2" xfId="0" applyNumberFormat="1" applyFont="1" applyBorder="1" applyAlignment="1">
      <alignment horizontal="left" vertical="top" indent="1"/>
    </xf>
    <xf numFmtId="15" fontId="12" fillId="0" borderId="27" xfId="0" applyNumberFormat="1" applyFont="1" applyBorder="1" applyAlignment="1">
      <alignment horizontal="left" vertical="top" indent="1"/>
    </xf>
    <xf numFmtId="0" fontId="10" fillId="2" borderId="40" xfId="1" applyNumberFormat="1" applyFont="1" applyFill="1" applyBorder="1" applyAlignment="1">
      <alignment horizontal="right" vertical="center" indent="1"/>
    </xf>
    <xf numFmtId="0" fontId="10" fillId="2" borderId="41" xfId="1" applyNumberFormat="1" applyFont="1" applyFill="1" applyBorder="1" applyAlignment="1">
      <alignment horizontal="right" vertical="center" indent="1"/>
    </xf>
    <xf numFmtId="0" fontId="10" fillId="2" borderId="46" xfId="1" applyNumberFormat="1" applyFont="1" applyFill="1" applyBorder="1" applyAlignment="1">
      <alignment horizontal="right" vertical="center" indent="1"/>
    </xf>
    <xf numFmtId="0" fontId="3" fillId="0" borderId="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BDBD"/>
      <color rgb="FFFFD1D1"/>
      <color rgb="FFDAE9F8"/>
      <color rgb="FF6BA5DF"/>
      <color rgb="FF679CE3"/>
      <color rgb="FF0A74BD"/>
      <color rgb="FFFFB3B3"/>
      <color rgb="FFFFB7B7"/>
      <color rgb="FFFAAAAA"/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318488</xdr:colOff>
      <xdr:row>8</xdr:row>
      <xdr:rowOff>149197</xdr:rowOff>
    </xdr:from>
    <xdr:to>
      <xdr:col>9</xdr:col>
      <xdr:colOff>73991</xdr:colOff>
      <xdr:row>36</xdr:row>
      <xdr:rowOff>102355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77560FB-D673-4D60-A9F2-E3F7961D7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3271" y="2262919"/>
          <a:ext cx="3883555" cy="5326914"/>
        </a:xfrm>
        <a:prstGeom prst="rect">
          <a:avLst/>
        </a:prstGeom>
      </xdr:spPr>
    </xdr:pic>
    <xdr:clientData/>
  </xdr:twoCellAnchor>
  <xdr:twoCellAnchor editAs="oneCell">
    <xdr:from>
      <xdr:col>2</xdr:col>
      <xdr:colOff>194053</xdr:colOff>
      <xdr:row>2</xdr:row>
      <xdr:rowOff>37348</xdr:rowOff>
    </xdr:from>
    <xdr:to>
      <xdr:col>3</xdr:col>
      <xdr:colOff>304505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48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2961</xdr:colOff>
      <xdr:row>0</xdr:row>
      <xdr:rowOff>1</xdr:rowOff>
    </xdr:from>
    <xdr:to>
      <xdr:col>12</xdr:col>
      <xdr:colOff>326370</xdr:colOff>
      <xdr:row>0</xdr:row>
      <xdr:rowOff>757733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926DB25-FB37-4C51-A4E2-B7F4D679E464}"/>
            </a:ext>
          </a:extLst>
        </xdr:cNvPr>
        <xdr:cNvGrpSpPr/>
      </xdr:nvGrpSpPr>
      <xdr:grpSpPr>
        <a:xfrm>
          <a:off x="720999" y="1"/>
          <a:ext cx="7738988" cy="757732"/>
          <a:chOff x="428220" y="0"/>
          <a:chExt cx="9107777" cy="818591"/>
        </a:xfrm>
      </xdr:grpSpPr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5A3C9731-BD3F-C0E9-BB67-2FC97F581C60}"/>
              </a:ext>
            </a:extLst>
          </xdr:cNvPr>
          <xdr:cNvSpPr/>
        </xdr:nvSpPr>
        <xdr:spPr>
          <a:xfrm flipV="1">
            <a:off x="428220" y="0"/>
            <a:ext cx="9107777" cy="619188"/>
          </a:xfrm>
          <a:custGeom>
            <a:avLst/>
            <a:gdLst>
              <a:gd name="connsiteX0" fmla="*/ 7010626 w 8041479"/>
              <a:gd name="connsiteY0" fmla="*/ 322872 h 619188"/>
              <a:gd name="connsiteX1" fmla="*/ 6797421 w 8041479"/>
              <a:gd name="connsiteY1" fmla="*/ 234559 h 619188"/>
              <a:gd name="connsiteX2" fmla="*/ 6742835 w 8041479"/>
              <a:gd name="connsiteY2" fmla="*/ 153598 h 619188"/>
              <a:gd name="connsiteX3" fmla="*/ 6744499 w 8041479"/>
              <a:gd name="connsiteY3" fmla="*/ 158958 h 619188"/>
              <a:gd name="connsiteX4" fmla="*/ 6690125 w 8041479"/>
              <a:gd name="connsiteY4" fmla="*/ 78310 h 619188"/>
              <a:gd name="connsiteX5" fmla="*/ 6605138 w 8041479"/>
              <a:gd name="connsiteY5" fmla="*/ 21012 h 619188"/>
              <a:gd name="connsiteX6" fmla="*/ 6501070 w 8041479"/>
              <a:gd name="connsiteY6" fmla="*/ 1 h 619188"/>
              <a:gd name="connsiteX7" fmla="*/ 6713419 w 8041479"/>
              <a:gd name="connsiteY7" fmla="*/ 1 h 619188"/>
              <a:gd name="connsiteX8" fmla="*/ 6723954 w 8041479"/>
              <a:gd name="connsiteY8" fmla="*/ 1 h 619188"/>
              <a:gd name="connsiteX9" fmla="*/ 7297300 w 8041479"/>
              <a:gd name="connsiteY9" fmla="*/ 1 h 619188"/>
              <a:gd name="connsiteX10" fmla="*/ 7307833 w 8041479"/>
              <a:gd name="connsiteY10" fmla="*/ 1 h 619188"/>
              <a:gd name="connsiteX11" fmla="*/ 7520184 w 8041479"/>
              <a:gd name="connsiteY11" fmla="*/ 1 h 619188"/>
              <a:gd name="connsiteX12" fmla="*/ 7416116 w 8041479"/>
              <a:gd name="connsiteY12" fmla="*/ 21012 h 619188"/>
              <a:gd name="connsiteX13" fmla="*/ 7331129 w 8041479"/>
              <a:gd name="connsiteY13" fmla="*/ 78310 h 619188"/>
              <a:gd name="connsiteX14" fmla="*/ 7276755 w 8041479"/>
              <a:gd name="connsiteY14" fmla="*/ 158958 h 619188"/>
              <a:gd name="connsiteX15" fmla="*/ 7278421 w 8041479"/>
              <a:gd name="connsiteY15" fmla="*/ 153593 h 619188"/>
              <a:gd name="connsiteX16" fmla="*/ 7223831 w 8041479"/>
              <a:gd name="connsiteY16" fmla="*/ 234559 h 619188"/>
              <a:gd name="connsiteX17" fmla="*/ 7010626 w 8041479"/>
              <a:gd name="connsiteY17" fmla="*/ 322872 h 619188"/>
              <a:gd name="connsiteX18" fmla="*/ 5810985 w 8041479"/>
              <a:gd name="connsiteY18" fmla="*/ 322872 h 619188"/>
              <a:gd name="connsiteX19" fmla="*/ 5597781 w 8041479"/>
              <a:gd name="connsiteY19" fmla="*/ 234559 h 619188"/>
              <a:gd name="connsiteX20" fmla="*/ 5543194 w 8041479"/>
              <a:gd name="connsiteY20" fmla="*/ 153598 h 619188"/>
              <a:gd name="connsiteX21" fmla="*/ 5544858 w 8041479"/>
              <a:gd name="connsiteY21" fmla="*/ 158958 h 619188"/>
              <a:gd name="connsiteX22" fmla="*/ 5490484 w 8041479"/>
              <a:gd name="connsiteY22" fmla="*/ 78310 h 619188"/>
              <a:gd name="connsiteX23" fmla="*/ 5405497 w 8041479"/>
              <a:gd name="connsiteY23" fmla="*/ 21012 h 619188"/>
              <a:gd name="connsiteX24" fmla="*/ 5301429 w 8041479"/>
              <a:gd name="connsiteY24" fmla="*/ 1 h 619188"/>
              <a:gd name="connsiteX25" fmla="*/ 5513778 w 8041479"/>
              <a:gd name="connsiteY25" fmla="*/ 1 h 619188"/>
              <a:gd name="connsiteX26" fmla="*/ 5524313 w 8041479"/>
              <a:gd name="connsiteY26" fmla="*/ 1 h 619188"/>
              <a:gd name="connsiteX27" fmla="*/ 6097659 w 8041479"/>
              <a:gd name="connsiteY27" fmla="*/ 1 h 619188"/>
              <a:gd name="connsiteX28" fmla="*/ 6108193 w 8041479"/>
              <a:gd name="connsiteY28" fmla="*/ 1 h 619188"/>
              <a:gd name="connsiteX29" fmla="*/ 6320543 w 8041479"/>
              <a:gd name="connsiteY29" fmla="*/ 1 h 619188"/>
              <a:gd name="connsiteX30" fmla="*/ 6216476 w 8041479"/>
              <a:gd name="connsiteY30" fmla="*/ 21012 h 619188"/>
              <a:gd name="connsiteX31" fmla="*/ 6131488 w 8041479"/>
              <a:gd name="connsiteY31" fmla="*/ 78310 h 619188"/>
              <a:gd name="connsiteX32" fmla="*/ 6077114 w 8041479"/>
              <a:gd name="connsiteY32" fmla="*/ 158958 h 619188"/>
              <a:gd name="connsiteX33" fmla="*/ 6078780 w 8041479"/>
              <a:gd name="connsiteY33" fmla="*/ 153593 h 619188"/>
              <a:gd name="connsiteX34" fmla="*/ 6024190 w 8041479"/>
              <a:gd name="connsiteY34" fmla="*/ 234559 h 619188"/>
              <a:gd name="connsiteX35" fmla="*/ 5810985 w 8041479"/>
              <a:gd name="connsiteY35" fmla="*/ 322872 h 619188"/>
              <a:gd name="connsiteX36" fmla="*/ 4611346 w 8041479"/>
              <a:gd name="connsiteY36" fmla="*/ 322872 h 619188"/>
              <a:gd name="connsiteX37" fmla="*/ 4398142 w 8041479"/>
              <a:gd name="connsiteY37" fmla="*/ 234559 h 619188"/>
              <a:gd name="connsiteX38" fmla="*/ 4343555 w 8041479"/>
              <a:gd name="connsiteY38" fmla="*/ 153598 h 619188"/>
              <a:gd name="connsiteX39" fmla="*/ 4345219 w 8041479"/>
              <a:gd name="connsiteY39" fmla="*/ 158958 h 619188"/>
              <a:gd name="connsiteX40" fmla="*/ 4290845 w 8041479"/>
              <a:gd name="connsiteY40" fmla="*/ 78310 h 619188"/>
              <a:gd name="connsiteX41" fmla="*/ 4205858 w 8041479"/>
              <a:gd name="connsiteY41" fmla="*/ 21012 h 619188"/>
              <a:gd name="connsiteX42" fmla="*/ 4101790 w 8041479"/>
              <a:gd name="connsiteY42" fmla="*/ 1 h 619188"/>
              <a:gd name="connsiteX43" fmla="*/ 4314139 w 8041479"/>
              <a:gd name="connsiteY43" fmla="*/ 1 h 619188"/>
              <a:gd name="connsiteX44" fmla="*/ 4324674 w 8041479"/>
              <a:gd name="connsiteY44" fmla="*/ 1 h 619188"/>
              <a:gd name="connsiteX45" fmla="*/ 4898020 w 8041479"/>
              <a:gd name="connsiteY45" fmla="*/ 1 h 619188"/>
              <a:gd name="connsiteX46" fmla="*/ 4908554 w 8041479"/>
              <a:gd name="connsiteY46" fmla="*/ 1 h 619188"/>
              <a:gd name="connsiteX47" fmla="*/ 5120904 w 8041479"/>
              <a:gd name="connsiteY47" fmla="*/ 1 h 619188"/>
              <a:gd name="connsiteX48" fmla="*/ 5016837 w 8041479"/>
              <a:gd name="connsiteY48" fmla="*/ 21012 h 619188"/>
              <a:gd name="connsiteX49" fmla="*/ 4931849 w 8041479"/>
              <a:gd name="connsiteY49" fmla="*/ 78310 h 619188"/>
              <a:gd name="connsiteX50" fmla="*/ 4877475 w 8041479"/>
              <a:gd name="connsiteY50" fmla="*/ 158958 h 619188"/>
              <a:gd name="connsiteX51" fmla="*/ 4879141 w 8041479"/>
              <a:gd name="connsiteY51" fmla="*/ 153593 h 619188"/>
              <a:gd name="connsiteX52" fmla="*/ 4824551 w 8041479"/>
              <a:gd name="connsiteY52" fmla="*/ 234559 h 619188"/>
              <a:gd name="connsiteX53" fmla="*/ 4611346 w 8041479"/>
              <a:gd name="connsiteY53" fmla="*/ 322872 h 619188"/>
              <a:gd name="connsiteX54" fmla="*/ 3411707 w 8041479"/>
              <a:gd name="connsiteY54" fmla="*/ 322872 h 619188"/>
              <a:gd name="connsiteX55" fmla="*/ 3198503 w 8041479"/>
              <a:gd name="connsiteY55" fmla="*/ 234559 h 619188"/>
              <a:gd name="connsiteX56" fmla="*/ 3143916 w 8041479"/>
              <a:gd name="connsiteY56" fmla="*/ 153598 h 619188"/>
              <a:gd name="connsiteX57" fmla="*/ 3145580 w 8041479"/>
              <a:gd name="connsiteY57" fmla="*/ 158958 h 619188"/>
              <a:gd name="connsiteX58" fmla="*/ 3091206 w 8041479"/>
              <a:gd name="connsiteY58" fmla="*/ 78310 h 619188"/>
              <a:gd name="connsiteX59" fmla="*/ 3006219 w 8041479"/>
              <a:gd name="connsiteY59" fmla="*/ 21012 h 619188"/>
              <a:gd name="connsiteX60" fmla="*/ 2902151 w 8041479"/>
              <a:gd name="connsiteY60" fmla="*/ 1 h 619188"/>
              <a:gd name="connsiteX61" fmla="*/ 3114500 w 8041479"/>
              <a:gd name="connsiteY61" fmla="*/ 1 h 619188"/>
              <a:gd name="connsiteX62" fmla="*/ 3125035 w 8041479"/>
              <a:gd name="connsiteY62" fmla="*/ 1 h 619188"/>
              <a:gd name="connsiteX63" fmla="*/ 3698381 w 8041479"/>
              <a:gd name="connsiteY63" fmla="*/ 1 h 619188"/>
              <a:gd name="connsiteX64" fmla="*/ 3708915 w 8041479"/>
              <a:gd name="connsiteY64" fmla="*/ 1 h 619188"/>
              <a:gd name="connsiteX65" fmla="*/ 3921265 w 8041479"/>
              <a:gd name="connsiteY65" fmla="*/ 1 h 619188"/>
              <a:gd name="connsiteX66" fmla="*/ 3817198 w 8041479"/>
              <a:gd name="connsiteY66" fmla="*/ 21012 h 619188"/>
              <a:gd name="connsiteX67" fmla="*/ 3732210 w 8041479"/>
              <a:gd name="connsiteY67" fmla="*/ 78310 h 619188"/>
              <a:gd name="connsiteX68" fmla="*/ 3677836 w 8041479"/>
              <a:gd name="connsiteY68" fmla="*/ 158958 h 619188"/>
              <a:gd name="connsiteX69" fmla="*/ 3679502 w 8041479"/>
              <a:gd name="connsiteY69" fmla="*/ 153593 h 619188"/>
              <a:gd name="connsiteX70" fmla="*/ 3624912 w 8041479"/>
              <a:gd name="connsiteY70" fmla="*/ 234559 h 619188"/>
              <a:gd name="connsiteX71" fmla="*/ 3411707 w 8041479"/>
              <a:gd name="connsiteY71" fmla="*/ 322872 h 619188"/>
              <a:gd name="connsiteX72" fmla="*/ 2212068 w 8041479"/>
              <a:gd name="connsiteY72" fmla="*/ 322872 h 619188"/>
              <a:gd name="connsiteX73" fmla="*/ 1998864 w 8041479"/>
              <a:gd name="connsiteY73" fmla="*/ 234559 h 619188"/>
              <a:gd name="connsiteX74" fmla="*/ 1944278 w 8041479"/>
              <a:gd name="connsiteY74" fmla="*/ 153598 h 619188"/>
              <a:gd name="connsiteX75" fmla="*/ 1945942 w 8041479"/>
              <a:gd name="connsiteY75" fmla="*/ 158958 h 619188"/>
              <a:gd name="connsiteX76" fmla="*/ 1891568 w 8041479"/>
              <a:gd name="connsiteY76" fmla="*/ 78310 h 619188"/>
              <a:gd name="connsiteX77" fmla="*/ 1806580 w 8041479"/>
              <a:gd name="connsiteY77" fmla="*/ 21012 h 619188"/>
              <a:gd name="connsiteX78" fmla="*/ 1702512 w 8041479"/>
              <a:gd name="connsiteY78" fmla="*/ 1 h 619188"/>
              <a:gd name="connsiteX79" fmla="*/ 1914861 w 8041479"/>
              <a:gd name="connsiteY79" fmla="*/ 1 h 619188"/>
              <a:gd name="connsiteX80" fmla="*/ 1925397 w 8041479"/>
              <a:gd name="connsiteY80" fmla="*/ 1 h 619188"/>
              <a:gd name="connsiteX81" fmla="*/ 2498742 w 8041479"/>
              <a:gd name="connsiteY81" fmla="*/ 1 h 619188"/>
              <a:gd name="connsiteX82" fmla="*/ 2509276 w 8041479"/>
              <a:gd name="connsiteY82" fmla="*/ 1 h 619188"/>
              <a:gd name="connsiteX83" fmla="*/ 2721626 w 8041479"/>
              <a:gd name="connsiteY83" fmla="*/ 1 h 619188"/>
              <a:gd name="connsiteX84" fmla="*/ 2617559 w 8041479"/>
              <a:gd name="connsiteY84" fmla="*/ 21012 h 619188"/>
              <a:gd name="connsiteX85" fmla="*/ 2532571 w 8041479"/>
              <a:gd name="connsiteY85" fmla="*/ 78310 h 619188"/>
              <a:gd name="connsiteX86" fmla="*/ 2478197 w 8041479"/>
              <a:gd name="connsiteY86" fmla="*/ 158958 h 619188"/>
              <a:gd name="connsiteX87" fmla="*/ 2479863 w 8041479"/>
              <a:gd name="connsiteY87" fmla="*/ 153593 h 619188"/>
              <a:gd name="connsiteX88" fmla="*/ 2425273 w 8041479"/>
              <a:gd name="connsiteY88" fmla="*/ 234559 h 619188"/>
              <a:gd name="connsiteX89" fmla="*/ 2212068 w 8041479"/>
              <a:gd name="connsiteY89" fmla="*/ 322872 h 619188"/>
              <a:gd name="connsiteX90" fmla="*/ 1012430 w 8041479"/>
              <a:gd name="connsiteY90" fmla="*/ 322872 h 619188"/>
              <a:gd name="connsiteX91" fmla="*/ 799225 w 8041479"/>
              <a:gd name="connsiteY91" fmla="*/ 234559 h 619188"/>
              <a:gd name="connsiteX92" fmla="*/ 744639 w 8041479"/>
              <a:gd name="connsiteY92" fmla="*/ 153598 h 619188"/>
              <a:gd name="connsiteX93" fmla="*/ 746303 w 8041479"/>
              <a:gd name="connsiteY93" fmla="*/ 158958 h 619188"/>
              <a:gd name="connsiteX94" fmla="*/ 691929 w 8041479"/>
              <a:gd name="connsiteY94" fmla="*/ 78310 h 619188"/>
              <a:gd name="connsiteX95" fmla="*/ 606942 w 8041479"/>
              <a:gd name="connsiteY95" fmla="*/ 21012 h 619188"/>
              <a:gd name="connsiteX96" fmla="*/ 502874 w 8041479"/>
              <a:gd name="connsiteY96" fmla="*/ 1 h 619188"/>
              <a:gd name="connsiteX97" fmla="*/ 715223 w 8041479"/>
              <a:gd name="connsiteY97" fmla="*/ 1 h 619188"/>
              <a:gd name="connsiteX98" fmla="*/ 725758 w 8041479"/>
              <a:gd name="connsiteY98" fmla="*/ 1 h 619188"/>
              <a:gd name="connsiteX99" fmla="*/ 1299104 w 8041479"/>
              <a:gd name="connsiteY99" fmla="*/ 1 h 619188"/>
              <a:gd name="connsiteX100" fmla="*/ 1309638 w 8041479"/>
              <a:gd name="connsiteY100" fmla="*/ 1 h 619188"/>
              <a:gd name="connsiteX101" fmla="*/ 1521988 w 8041479"/>
              <a:gd name="connsiteY101" fmla="*/ 1 h 619188"/>
              <a:gd name="connsiteX102" fmla="*/ 1417921 w 8041479"/>
              <a:gd name="connsiteY102" fmla="*/ 21012 h 619188"/>
              <a:gd name="connsiteX103" fmla="*/ 1332933 w 8041479"/>
              <a:gd name="connsiteY103" fmla="*/ 78310 h 619188"/>
              <a:gd name="connsiteX104" fmla="*/ 1278559 w 8041479"/>
              <a:gd name="connsiteY104" fmla="*/ 158958 h 619188"/>
              <a:gd name="connsiteX105" fmla="*/ 1280225 w 8041479"/>
              <a:gd name="connsiteY105" fmla="*/ 153593 h 619188"/>
              <a:gd name="connsiteX106" fmla="*/ 1225636 w 8041479"/>
              <a:gd name="connsiteY106" fmla="*/ 234559 h 619188"/>
              <a:gd name="connsiteX107" fmla="*/ 1012430 w 8041479"/>
              <a:gd name="connsiteY107" fmla="*/ 322872 h 619188"/>
              <a:gd name="connsiteX108" fmla="*/ 0 w 8041479"/>
              <a:gd name="connsiteY108" fmla="*/ 619188 h 619188"/>
              <a:gd name="connsiteX109" fmla="*/ 8041479 w 8041479"/>
              <a:gd name="connsiteY109" fmla="*/ 619188 h 619188"/>
              <a:gd name="connsiteX110" fmla="*/ 8041479 w 8041479"/>
              <a:gd name="connsiteY110" fmla="*/ 224499 h 619188"/>
              <a:gd name="connsiteX111" fmla="*/ 7816980 w 8041479"/>
              <a:gd name="connsiteY111" fmla="*/ 0 h 619188"/>
              <a:gd name="connsiteX112" fmla="*/ 224499 w 8041479"/>
              <a:gd name="connsiteY112" fmla="*/ 0 h 619188"/>
              <a:gd name="connsiteX113" fmla="*/ 0 w 8041479"/>
              <a:gd name="connsiteY113" fmla="*/ 224499 h 6191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041479" h="619188">
                <a:moveTo>
                  <a:pt x="7010626" y="322872"/>
                </a:moveTo>
                <a:cubicBezTo>
                  <a:pt x="6927365" y="322872"/>
                  <a:pt x="6851985" y="289124"/>
                  <a:pt x="6797421" y="234559"/>
                </a:cubicBezTo>
                <a:lnTo>
                  <a:pt x="6742835" y="153598"/>
                </a:lnTo>
                <a:lnTo>
                  <a:pt x="6744499" y="158958"/>
                </a:lnTo>
                <a:lnTo>
                  <a:pt x="6690125" y="78310"/>
                </a:lnTo>
                <a:cubicBezTo>
                  <a:pt x="6665932" y="54117"/>
                  <a:pt x="6637125" y="34542"/>
                  <a:pt x="6605138" y="21012"/>
                </a:cubicBezTo>
                <a:lnTo>
                  <a:pt x="6501070" y="1"/>
                </a:lnTo>
                <a:lnTo>
                  <a:pt x="6713419" y="1"/>
                </a:lnTo>
                <a:lnTo>
                  <a:pt x="6723954" y="1"/>
                </a:lnTo>
                <a:lnTo>
                  <a:pt x="7297300" y="1"/>
                </a:lnTo>
                <a:lnTo>
                  <a:pt x="7307833" y="1"/>
                </a:lnTo>
                <a:lnTo>
                  <a:pt x="7520184" y="1"/>
                </a:lnTo>
                <a:lnTo>
                  <a:pt x="7416116" y="21012"/>
                </a:lnTo>
                <a:cubicBezTo>
                  <a:pt x="7384129" y="34542"/>
                  <a:pt x="7355322" y="54117"/>
                  <a:pt x="7331129" y="78310"/>
                </a:cubicBezTo>
                <a:lnTo>
                  <a:pt x="7276755" y="158958"/>
                </a:lnTo>
                <a:lnTo>
                  <a:pt x="7278421" y="153593"/>
                </a:lnTo>
                <a:lnTo>
                  <a:pt x="7223831" y="234559"/>
                </a:lnTo>
                <a:cubicBezTo>
                  <a:pt x="7169267" y="289124"/>
                  <a:pt x="7093889" y="322872"/>
                  <a:pt x="7010626" y="322872"/>
                </a:cubicBezTo>
                <a:close/>
                <a:moveTo>
                  <a:pt x="5810985" y="322872"/>
                </a:moveTo>
                <a:cubicBezTo>
                  <a:pt x="5727724" y="322872"/>
                  <a:pt x="5652345" y="289124"/>
                  <a:pt x="5597781" y="234559"/>
                </a:cubicBezTo>
                <a:lnTo>
                  <a:pt x="5543194" y="153598"/>
                </a:lnTo>
                <a:lnTo>
                  <a:pt x="5544858" y="158958"/>
                </a:lnTo>
                <a:lnTo>
                  <a:pt x="5490484" y="78310"/>
                </a:lnTo>
                <a:cubicBezTo>
                  <a:pt x="5466292" y="54117"/>
                  <a:pt x="5437485" y="34542"/>
                  <a:pt x="5405497" y="21012"/>
                </a:cubicBezTo>
                <a:lnTo>
                  <a:pt x="5301429" y="1"/>
                </a:lnTo>
                <a:lnTo>
                  <a:pt x="5513778" y="1"/>
                </a:lnTo>
                <a:lnTo>
                  <a:pt x="5524313" y="1"/>
                </a:lnTo>
                <a:lnTo>
                  <a:pt x="6097659" y="1"/>
                </a:lnTo>
                <a:lnTo>
                  <a:pt x="6108193" y="1"/>
                </a:lnTo>
                <a:lnTo>
                  <a:pt x="6320543" y="1"/>
                </a:lnTo>
                <a:lnTo>
                  <a:pt x="6216476" y="21012"/>
                </a:lnTo>
                <a:cubicBezTo>
                  <a:pt x="6184488" y="34542"/>
                  <a:pt x="6155681" y="54117"/>
                  <a:pt x="6131488" y="78310"/>
                </a:cubicBezTo>
                <a:lnTo>
                  <a:pt x="6077114" y="158958"/>
                </a:lnTo>
                <a:lnTo>
                  <a:pt x="6078780" y="153593"/>
                </a:lnTo>
                <a:lnTo>
                  <a:pt x="6024190" y="234559"/>
                </a:lnTo>
                <a:cubicBezTo>
                  <a:pt x="5969626" y="289124"/>
                  <a:pt x="5894248" y="322872"/>
                  <a:pt x="5810985" y="322872"/>
                </a:cubicBezTo>
                <a:close/>
                <a:moveTo>
                  <a:pt x="4611346" y="322872"/>
                </a:moveTo>
                <a:cubicBezTo>
                  <a:pt x="4528085" y="322872"/>
                  <a:pt x="4452706" y="289124"/>
                  <a:pt x="4398142" y="234559"/>
                </a:cubicBezTo>
                <a:lnTo>
                  <a:pt x="4343555" y="153598"/>
                </a:lnTo>
                <a:lnTo>
                  <a:pt x="4345219" y="158958"/>
                </a:lnTo>
                <a:lnTo>
                  <a:pt x="4290845" y="78310"/>
                </a:lnTo>
                <a:cubicBezTo>
                  <a:pt x="4266653" y="54117"/>
                  <a:pt x="4237846" y="34542"/>
                  <a:pt x="4205858" y="21012"/>
                </a:cubicBezTo>
                <a:lnTo>
                  <a:pt x="4101790" y="1"/>
                </a:lnTo>
                <a:lnTo>
                  <a:pt x="4314139" y="1"/>
                </a:lnTo>
                <a:lnTo>
                  <a:pt x="4324674" y="1"/>
                </a:lnTo>
                <a:lnTo>
                  <a:pt x="4898020" y="1"/>
                </a:lnTo>
                <a:lnTo>
                  <a:pt x="4908554" y="1"/>
                </a:lnTo>
                <a:lnTo>
                  <a:pt x="5120904" y="1"/>
                </a:lnTo>
                <a:lnTo>
                  <a:pt x="5016837" y="21012"/>
                </a:lnTo>
                <a:cubicBezTo>
                  <a:pt x="4984849" y="34542"/>
                  <a:pt x="4956042" y="54117"/>
                  <a:pt x="4931849" y="78310"/>
                </a:cubicBezTo>
                <a:lnTo>
                  <a:pt x="4877475" y="158958"/>
                </a:lnTo>
                <a:lnTo>
                  <a:pt x="4879141" y="153593"/>
                </a:lnTo>
                <a:lnTo>
                  <a:pt x="4824551" y="234559"/>
                </a:lnTo>
                <a:cubicBezTo>
                  <a:pt x="4769987" y="289124"/>
                  <a:pt x="4694609" y="322872"/>
                  <a:pt x="4611346" y="322872"/>
                </a:cubicBezTo>
                <a:close/>
                <a:moveTo>
                  <a:pt x="3411707" y="322872"/>
                </a:moveTo>
                <a:cubicBezTo>
                  <a:pt x="3328446" y="322872"/>
                  <a:pt x="3253067" y="289124"/>
                  <a:pt x="3198503" y="234559"/>
                </a:cubicBezTo>
                <a:lnTo>
                  <a:pt x="3143916" y="153598"/>
                </a:lnTo>
                <a:lnTo>
                  <a:pt x="3145580" y="158958"/>
                </a:lnTo>
                <a:lnTo>
                  <a:pt x="3091206" y="78310"/>
                </a:lnTo>
                <a:cubicBezTo>
                  <a:pt x="3067014" y="54117"/>
                  <a:pt x="3038207" y="34542"/>
                  <a:pt x="3006219" y="21012"/>
                </a:cubicBezTo>
                <a:lnTo>
                  <a:pt x="2902151" y="1"/>
                </a:lnTo>
                <a:lnTo>
                  <a:pt x="3114500" y="1"/>
                </a:lnTo>
                <a:lnTo>
                  <a:pt x="3125035" y="1"/>
                </a:lnTo>
                <a:lnTo>
                  <a:pt x="3698381" y="1"/>
                </a:lnTo>
                <a:lnTo>
                  <a:pt x="3708915" y="1"/>
                </a:lnTo>
                <a:lnTo>
                  <a:pt x="3921265" y="1"/>
                </a:lnTo>
                <a:lnTo>
                  <a:pt x="3817198" y="21012"/>
                </a:lnTo>
                <a:cubicBezTo>
                  <a:pt x="3785210" y="34542"/>
                  <a:pt x="3756403" y="54117"/>
                  <a:pt x="3732210" y="78310"/>
                </a:cubicBezTo>
                <a:lnTo>
                  <a:pt x="3677836" y="158958"/>
                </a:lnTo>
                <a:lnTo>
                  <a:pt x="3679502" y="153593"/>
                </a:lnTo>
                <a:lnTo>
                  <a:pt x="3624912" y="234559"/>
                </a:lnTo>
                <a:cubicBezTo>
                  <a:pt x="3570348" y="289124"/>
                  <a:pt x="3494970" y="322872"/>
                  <a:pt x="3411707" y="322872"/>
                </a:cubicBezTo>
                <a:close/>
                <a:moveTo>
                  <a:pt x="2212068" y="322872"/>
                </a:moveTo>
                <a:cubicBezTo>
                  <a:pt x="2128807" y="322872"/>
                  <a:pt x="2053428" y="289124"/>
                  <a:pt x="1998864" y="234559"/>
                </a:cubicBezTo>
                <a:lnTo>
                  <a:pt x="1944278" y="153598"/>
                </a:lnTo>
                <a:lnTo>
                  <a:pt x="1945942" y="158958"/>
                </a:lnTo>
                <a:lnTo>
                  <a:pt x="1891568" y="78310"/>
                </a:lnTo>
                <a:cubicBezTo>
                  <a:pt x="1867375" y="54117"/>
                  <a:pt x="1838568" y="34542"/>
                  <a:pt x="1806580" y="21012"/>
                </a:cubicBezTo>
                <a:lnTo>
                  <a:pt x="1702512" y="1"/>
                </a:lnTo>
                <a:lnTo>
                  <a:pt x="1914861" y="1"/>
                </a:lnTo>
                <a:lnTo>
                  <a:pt x="1925397" y="1"/>
                </a:lnTo>
                <a:lnTo>
                  <a:pt x="2498742" y="1"/>
                </a:lnTo>
                <a:lnTo>
                  <a:pt x="2509276" y="1"/>
                </a:lnTo>
                <a:lnTo>
                  <a:pt x="2721626" y="1"/>
                </a:lnTo>
                <a:lnTo>
                  <a:pt x="2617559" y="21012"/>
                </a:lnTo>
                <a:cubicBezTo>
                  <a:pt x="2585571" y="34542"/>
                  <a:pt x="2556764" y="54117"/>
                  <a:pt x="2532571" y="78310"/>
                </a:cubicBezTo>
                <a:lnTo>
                  <a:pt x="2478197" y="158958"/>
                </a:lnTo>
                <a:lnTo>
                  <a:pt x="2479863" y="153593"/>
                </a:lnTo>
                <a:lnTo>
                  <a:pt x="2425273" y="234559"/>
                </a:lnTo>
                <a:cubicBezTo>
                  <a:pt x="2370709" y="289124"/>
                  <a:pt x="2295331" y="322872"/>
                  <a:pt x="2212068" y="322872"/>
                </a:cubicBezTo>
                <a:close/>
                <a:moveTo>
                  <a:pt x="1012430" y="322872"/>
                </a:moveTo>
                <a:cubicBezTo>
                  <a:pt x="929170" y="322872"/>
                  <a:pt x="853790" y="289124"/>
                  <a:pt x="799225" y="234559"/>
                </a:cubicBezTo>
                <a:lnTo>
                  <a:pt x="744639" y="153598"/>
                </a:lnTo>
                <a:lnTo>
                  <a:pt x="746303" y="158958"/>
                </a:lnTo>
                <a:lnTo>
                  <a:pt x="691929" y="78310"/>
                </a:lnTo>
                <a:cubicBezTo>
                  <a:pt x="667737" y="54117"/>
                  <a:pt x="638930" y="34542"/>
                  <a:pt x="606942" y="21012"/>
                </a:cubicBezTo>
                <a:lnTo>
                  <a:pt x="502874" y="1"/>
                </a:lnTo>
                <a:lnTo>
                  <a:pt x="715223" y="1"/>
                </a:lnTo>
                <a:lnTo>
                  <a:pt x="725758" y="1"/>
                </a:lnTo>
                <a:lnTo>
                  <a:pt x="1299104" y="1"/>
                </a:lnTo>
                <a:lnTo>
                  <a:pt x="1309638" y="1"/>
                </a:lnTo>
                <a:lnTo>
                  <a:pt x="1521988" y="1"/>
                </a:lnTo>
                <a:lnTo>
                  <a:pt x="1417921" y="21012"/>
                </a:lnTo>
                <a:cubicBezTo>
                  <a:pt x="1385933" y="34542"/>
                  <a:pt x="1357126" y="54117"/>
                  <a:pt x="1332933" y="78310"/>
                </a:cubicBezTo>
                <a:lnTo>
                  <a:pt x="1278559" y="158958"/>
                </a:lnTo>
                <a:lnTo>
                  <a:pt x="1280225" y="153593"/>
                </a:lnTo>
                <a:lnTo>
                  <a:pt x="1225636" y="234559"/>
                </a:lnTo>
                <a:cubicBezTo>
                  <a:pt x="1171071" y="289124"/>
                  <a:pt x="1095693" y="322872"/>
                  <a:pt x="1012430" y="322872"/>
                </a:cubicBezTo>
                <a:close/>
                <a:moveTo>
                  <a:pt x="0" y="619188"/>
                </a:moveTo>
                <a:lnTo>
                  <a:pt x="8041479" y="619188"/>
                </a:lnTo>
                <a:lnTo>
                  <a:pt x="8041479" y="224499"/>
                </a:lnTo>
                <a:cubicBezTo>
                  <a:pt x="8041479" y="100512"/>
                  <a:pt x="7940967" y="0"/>
                  <a:pt x="7816980" y="0"/>
                </a:cubicBezTo>
                <a:lnTo>
                  <a:pt x="224499" y="0"/>
                </a:lnTo>
                <a:cubicBezTo>
                  <a:pt x="100512" y="0"/>
                  <a:pt x="0" y="100512"/>
                  <a:pt x="0" y="224499"/>
                </a:cubicBezTo>
                <a:close/>
              </a:path>
            </a:pathLst>
          </a:custGeom>
          <a:gradFill flip="none" rotWithShape="1">
            <a:gsLst>
              <a:gs pos="0">
                <a:srgbClr val="0A74BD">
                  <a:lumMod val="99000"/>
                </a:srgbClr>
              </a:gs>
              <a:gs pos="100000">
                <a:srgbClr val="0070C0"/>
              </a:gs>
            </a:gsLst>
            <a:lin ang="5400000" scaled="1"/>
            <a:tileRect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E18A4C5E-1BC4-4B41-6F12-BCE62EC1D4FC}"/>
              </a:ext>
            </a:extLst>
          </xdr:cNvPr>
          <xdr:cNvGrpSpPr/>
        </xdr:nvGrpSpPr>
        <xdr:grpSpPr>
          <a:xfrm>
            <a:off x="1015305" y="56963"/>
            <a:ext cx="1061785" cy="761628"/>
            <a:chOff x="2536026" y="3075466"/>
            <a:chExt cx="1061222" cy="761628"/>
          </a:xfrm>
        </xdr:grpSpPr>
        <xdr:sp macro="[0]!Optativas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88DC0787-B172-15A9-4B22-3C20D829D9F9}"/>
                </a:ext>
              </a:extLst>
            </xdr:cNvPr>
            <xdr:cNvSpPr/>
          </xdr:nvSpPr>
          <xdr:spPr>
            <a:xfrm>
              <a:off x="2854280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Optativas" textlink="">
          <xdr:nvSpPr>
            <xdr:cNvPr id="32" name="CuadroTexto 32">
              <a:extLst>
                <a:ext uri="{FF2B5EF4-FFF2-40B4-BE49-F238E27FC236}">
                  <a16:creationId xmlns:a16="http://schemas.microsoft.com/office/drawing/2014/main" id="{E1663AA8-C26F-F40A-0DAC-9C03AA53FF7A}"/>
                </a:ext>
              </a:extLst>
            </xdr:cNvPr>
            <xdr:cNvSpPr txBox="1"/>
          </xdr:nvSpPr>
          <xdr:spPr>
            <a:xfrm>
              <a:off x="2536026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Electivas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Optativas">
          <xdr:nvPicPr>
            <xdr:cNvPr id="33" name="Gráfico 47" descr="Libros con relleno sólido">
              <a:extLst>
                <a:ext uri="{FF2B5EF4-FFF2-40B4-BE49-F238E27FC236}">
                  <a16:creationId xmlns:a16="http://schemas.microsoft.com/office/drawing/2014/main" id="{F24CD184-4BAF-A31B-F3A8-CFBFB9162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979691" y="3493960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60728E09-971B-AE5D-92FB-0F418022B594}"/>
              </a:ext>
            </a:extLst>
          </xdr:cNvPr>
          <xdr:cNvGrpSpPr/>
        </xdr:nvGrpSpPr>
        <xdr:grpSpPr>
          <a:xfrm>
            <a:off x="2374853" y="56963"/>
            <a:ext cx="1061222" cy="761628"/>
            <a:chOff x="2377104" y="56963"/>
            <a:chExt cx="1061222" cy="761628"/>
          </a:xfrm>
        </xdr:grpSpPr>
        <xdr:sp macro="[0]!IngresoNotas" textlink="">
          <xdr:nvSpPr>
            <xdr:cNvPr id="28" name="Elipse 27">
              <a:extLst>
                <a:ext uri="{FF2B5EF4-FFF2-40B4-BE49-F238E27FC236}">
                  <a16:creationId xmlns:a16="http://schemas.microsoft.com/office/drawing/2014/main" id="{FF2A2D03-DF6A-D531-8F5E-425D5A98E68F}"/>
                </a:ext>
              </a:extLst>
            </xdr:cNvPr>
            <xdr:cNvSpPr/>
          </xdr:nvSpPr>
          <xdr:spPr>
            <a:xfrm>
              <a:off x="2695358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Notas" textlink="">
          <xdr:nvSpPr>
            <xdr:cNvPr id="29" name="CuadroTexto 32">
              <a:extLst>
                <a:ext uri="{FF2B5EF4-FFF2-40B4-BE49-F238E27FC236}">
                  <a16:creationId xmlns:a16="http://schemas.microsoft.com/office/drawing/2014/main" id="{1D055932-F3BC-77B0-D0BA-D64C825C521A}"/>
                </a:ext>
              </a:extLst>
            </xdr:cNvPr>
            <xdr:cNvSpPr txBox="1"/>
          </xdr:nvSpPr>
          <xdr:spPr>
            <a:xfrm>
              <a:off x="2377104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Notas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IngresoNotas">
          <xdr:nvPicPr>
            <xdr:cNvPr id="30" name="Gráfico 537" descr="Portapapeles con relleno sólido">
              <a:extLst>
                <a:ext uri="{FF2B5EF4-FFF2-40B4-BE49-F238E27FC236}">
                  <a16:creationId xmlns:a16="http://schemas.microsoft.com/office/drawing/2014/main" id="{533B7791-3FF3-E882-B19F-98C89B9533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2820769" y="475457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25122BC9-A09B-2B1C-0216-8ACC3BF81ED0}"/>
              </a:ext>
            </a:extLst>
          </xdr:cNvPr>
          <xdr:cNvGrpSpPr/>
        </xdr:nvGrpSpPr>
        <xdr:grpSpPr>
          <a:xfrm>
            <a:off x="7810797" y="56963"/>
            <a:ext cx="1062346" cy="761628"/>
            <a:chOff x="7808545" y="56963"/>
            <a:chExt cx="1061222" cy="761628"/>
          </a:xfrm>
        </xdr:grpSpPr>
        <xdr:sp macro="[0]!Reiniciar" textlink="">
          <xdr:nvSpPr>
            <xdr:cNvPr id="25" name="Elipse 24">
              <a:extLst>
                <a:ext uri="{FF2B5EF4-FFF2-40B4-BE49-F238E27FC236}">
                  <a16:creationId xmlns:a16="http://schemas.microsoft.com/office/drawing/2014/main" id="{273AAAF9-E612-B4CC-8273-56F83C2A316D}"/>
                </a:ext>
              </a:extLst>
            </xdr:cNvPr>
            <xdr:cNvSpPr/>
          </xdr:nvSpPr>
          <xdr:spPr>
            <a:xfrm>
              <a:off x="8126799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Reiniciar" textlink="">
          <xdr:nvSpPr>
            <xdr:cNvPr id="26" name="CuadroTexto 32">
              <a:extLst>
                <a:ext uri="{FF2B5EF4-FFF2-40B4-BE49-F238E27FC236}">
                  <a16:creationId xmlns:a16="http://schemas.microsoft.com/office/drawing/2014/main" id="{63277D61-4993-9C72-75FA-8E91B67EC29D}"/>
                </a:ext>
              </a:extLst>
            </xdr:cNvPr>
            <xdr:cNvSpPr txBox="1"/>
          </xdr:nvSpPr>
          <xdr:spPr>
            <a:xfrm>
              <a:off x="7808545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Reiniciar</a:t>
              </a:r>
            </a:p>
          </xdr:txBody>
        </xdr:sp>
        <xdr:pic macro="[0]!Reiniciar">
          <xdr:nvPicPr>
            <xdr:cNvPr id="27" name="Gráfico 534" descr="Potencia con relleno sólido">
              <a:extLst>
                <a:ext uri="{FF2B5EF4-FFF2-40B4-BE49-F238E27FC236}">
                  <a16:creationId xmlns:a16="http://schemas.microsoft.com/office/drawing/2014/main" id="{65241B54-2EBE-AF5E-7677-2E6E730C09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8252210" y="473259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EDA4ACCC-8719-660F-D07A-1BD75B0C2663}"/>
              </a:ext>
            </a:extLst>
          </xdr:cNvPr>
          <xdr:cNvGrpSpPr/>
        </xdr:nvGrpSpPr>
        <xdr:grpSpPr>
          <a:xfrm>
            <a:off x="6451810" y="56963"/>
            <a:ext cx="1062348" cy="761628"/>
            <a:chOff x="7334582" y="3075466"/>
            <a:chExt cx="1061222" cy="761628"/>
          </a:xfrm>
        </xdr:grpSpPr>
        <xdr:sp macro="[0]!GuardarPDF" textlink="">
          <xdr:nvSpPr>
            <xdr:cNvPr id="22" name="Elipse 21">
              <a:extLst>
                <a:ext uri="{FF2B5EF4-FFF2-40B4-BE49-F238E27FC236}">
                  <a16:creationId xmlns:a16="http://schemas.microsoft.com/office/drawing/2014/main" id="{C497980F-BD3C-513F-BBC0-63E4C3517508}"/>
                </a:ext>
              </a:extLst>
            </xdr:cNvPr>
            <xdr:cNvSpPr/>
          </xdr:nvSpPr>
          <xdr:spPr>
            <a:xfrm>
              <a:off x="7652836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GuardarPDF" textlink="">
          <xdr:nvSpPr>
            <xdr:cNvPr id="23" name="CuadroTexto 32">
              <a:extLst>
                <a:ext uri="{FF2B5EF4-FFF2-40B4-BE49-F238E27FC236}">
                  <a16:creationId xmlns:a16="http://schemas.microsoft.com/office/drawing/2014/main" id="{B30936B6-4745-6092-E98A-B163F87112C6}"/>
                </a:ext>
              </a:extLst>
            </xdr:cNvPr>
            <xdr:cNvSpPr txBox="1"/>
          </xdr:nvSpPr>
          <xdr:spPr>
            <a:xfrm>
              <a:off x="7334582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Guardar PDF</a:t>
              </a:r>
            </a:p>
          </xdr:txBody>
        </xdr:sp>
        <xdr:pic macro="[0]!GuardarPDF">
          <xdr:nvPicPr>
            <xdr:cNvPr id="24" name="Gráfico 535" descr="Clip con relleno sólido">
              <a:extLst>
                <a:ext uri="{FF2B5EF4-FFF2-40B4-BE49-F238E27FC236}">
                  <a16:creationId xmlns:a16="http://schemas.microsoft.com/office/drawing/2014/main" id="{1B45CFAF-A471-7B7A-A4E1-76084AB5A6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7778247" y="3508643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D9DEC2A0-81E4-7FC1-658A-48DF605A7A22}"/>
              </a:ext>
            </a:extLst>
          </xdr:cNvPr>
          <xdr:cNvGrpSpPr/>
        </xdr:nvGrpSpPr>
        <xdr:grpSpPr>
          <a:xfrm>
            <a:off x="3763006" y="56963"/>
            <a:ext cx="1063473" cy="761628"/>
            <a:chOff x="3765257" y="56963"/>
            <a:chExt cx="1061222" cy="761628"/>
          </a:xfrm>
        </xdr:grpSpPr>
        <xdr:sp macro="[0]!IngresoFirmas" textlink="">
          <xdr:nvSpPr>
            <xdr:cNvPr id="19" name="Elipse 18">
              <a:extLst>
                <a:ext uri="{FF2B5EF4-FFF2-40B4-BE49-F238E27FC236}">
                  <a16:creationId xmlns:a16="http://schemas.microsoft.com/office/drawing/2014/main" id="{7ABF70DF-D194-F2F3-ED8F-4156FF3E4FC5}"/>
                </a:ext>
              </a:extLst>
            </xdr:cNvPr>
            <xdr:cNvSpPr/>
          </xdr:nvSpPr>
          <xdr:spPr>
            <a:xfrm>
              <a:off x="4061003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Firmas" textlink="">
          <xdr:nvSpPr>
            <xdr:cNvPr id="20" name="CuadroTexto 32">
              <a:extLst>
                <a:ext uri="{FF2B5EF4-FFF2-40B4-BE49-F238E27FC236}">
                  <a16:creationId xmlns:a16="http://schemas.microsoft.com/office/drawing/2014/main" id="{BA68316E-1422-302B-DF42-7D621284EEAD}"/>
                </a:ext>
              </a:extLst>
            </xdr:cNvPr>
            <xdr:cNvSpPr txBox="1"/>
          </xdr:nvSpPr>
          <xdr:spPr>
            <a:xfrm>
              <a:off x="3765257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firmas</a:t>
              </a:r>
            </a:p>
          </xdr:txBody>
        </xdr:sp>
        <xdr:pic macro="[0]!IngresoFirmas">
          <xdr:nvPicPr>
            <xdr:cNvPr id="21" name="Gráfico 536" descr="Firma con relleno sólido">
              <a:extLst>
                <a:ext uri="{FF2B5EF4-FFF2-40B4-BE49-F238E27FC236}">
                  <a16:creationId xmlns:a16="http://schemas.microsoft.com/office/drawing/2014/main" id="{75A93567-6E92-AD3F-C7FE-6E985F8960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extLs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4176033" y="462112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4A50A751-0CE6-D527-3BC8-795B5672D0C6}"/>
              </a:ext>
            </a:extLst>
          </xdr:cNvPr>
          <xdr:cNvGrpSpPr/>
        </xdr:nvGrpSpPr>
        <xdr:grpSpPr>
          <a:xfrm>
            <a:off x="4917398" y="56962"/>
            <a:ext cx="1415172" cy="761629"/>
            <a:chOff x="4917482" y="56962"/>
            <a:chExt cx="1413880" cy="761629"/>
          </a:xfrm>
        </xdr:grpSpPr>
        <xdr:sp macro="[0]!Observaciones" textlink="">
          <xdr:nvSpPr>
            <xdr:cNvPr id="13" name="CuadroTexto 32">
              <a:extLst>
                <a:ext uri="{FF2B5EF4-FFF2-40B4-BE49-F238E27FC236}">
                  <a16:creationId xmlns:a16="http://schemas.microsoft.com/office/drawing/2014/main" id="{1C66084D-F8A7-B86E-7021-F89B511E7AD0}"/>
                </a:ext>
              </a:extLst>
            </xdr:cNvPr>
            <xdr:cNvSpPr txBox="1"/>
          </xdr:nvSpPr>
          <xdr:spPr>
            <a:xfrm>
              <a:off x="4917482" y="56962"/>
              <a:ext cx="1413880" cy="2363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observaciones</a:t>
              </a:r>
            </a:p>
          </xdr:txBody>
        </xdr:sp>
        <xdr:sp macro="[0]!Observaciones" textlink="">
          <xdr:nvSpPr>
            <xdr:cNvPr id="17" name="Elipse 16">
              <a:extLst>
                <a:ext uri="{FF2B5EF4-FFF2-40B4-BE49-F238E27FC236}">
                  <a16:creationId xmlns:a16="http://schemas.microsoft.com/office/drawing/2014/main" id="{BCC7A1D7-84F9-B724-E09B-2081AC79C7C8}"/>
                </a:ext>
              </a:extLst>
            </xdr:cNvPr>
            <xdr:cNvSpPr/>
          </xdr:nvSpPr>
          <xdr:spPr>
            <a:xfrm>
              <a:off x="5404916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pic macro="[0]!Observaciones">
          <xdr:nvPicPr>
            <xdr:cNvPr id="18" name="Gráfico 17" descr="Burbuja de chat con relleno sólido">
              <a:extLst>
                <a:ext uri="{FF2B5EF4-FFF2-40B4-BE49-F238E27FC236}">
                  <a16:creationId xmlns:a16="http://schemas.microsoft.com/office/drawing/2014/main" id="{65A34F44-A1F4-E209-2D59-F2B96010F0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5492023" y="461385"/>
              <a:ext cx="292608" cy="292608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323850</xdr:colOff>
          <xdr:row>3</xdr:row>
          <xdr:rowOff>171450</xdr:rowOff>
        </xdr:from>
        <xdr:to>
          <xdr:col>11</xdr:col>
          <xdr:colOff>171450</xdr:colOff>
          <xdr:row>7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15</xdr:col>
      <xdr:colOff>233401</xdr:colOff>
      <xdr:row>0</xdr:row>
      <xdr:rowOff>0</xdr:rowOff>
    </xdr:from>
    <xdr:to>
      <xdr:col>23</xdr:col>
      <xdr:colOff>161953</xdr:colOff>
      <xdr:row>47</xdr:row>
      <xdr:rowOff>0</xdr:rowOff>
    </xdr:to>
    <xdr:pic macro="[0]!Volver"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91701" y="0"/>
          <a:ext cx="5872152" cy="9239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171450</xdr:rowOff>
        </xdr:from>
        <xdr:to>
          <xdr:col>11</xdr:col>
          <xdr:colOff>247649</xdr:colOff>
          <xdr:row>7</xdr:row>
          <xdr:rowOff>57150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ptos Narrow"/>
                </a:rPr>
                <a:t>VOLVER AL </a:t>
              </a:r>
            </a:p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ptos Narrow"/>
                </a:rPr>
                <a:t>BALANCE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49"/>
  <sheetViews>
    <sheetView showGridLines="0" showRowColHeaders="0" tabSelected="1" showRuler="0" zoomScale="130" zoomScaleNormal="130" zoomScaleSheetLayoutView="100" workbookViewId="0">
      <pane ySplit="1" topLeftCell="A2" activePane="bottomLeft" state="frozen"/>
      <selection pane="bottomLeft" activeCell="G34" sqref="G34"/>
    </sheetView>
  </sheetViews>
  <sheetFormatPr baseColWidth="10" defaultColWidth="11.140625" defaultRowHeight="12" x14ac:dyDescent="0.25"/>
  <cols>
    <col min="1" max="1" width="10.7109375" style="74" customWidth="1"/>
    <col min="2" max="2" width="4.42578125" style="55" customWidth="1"/>
    <col min="3" max="3" width="2.85546875" style="56" customWidth="1"/>
    <col min="4" max="4" width="6.7109375" style="55" customWidth="1"/>
    <col min="5" max="5" width="11.42578125" style="57" customWidth="1"/>
    <col min="6" max="6" width="19.5703125" style="57" customWidth="1"/>
    <col min="7" max="7" width="6.7109375" style="55" customWidth="1"/>
    <col min="8" max="8" width="14.42578125" style="57" customWidth="1"/>
    <col min="9" max="9" width="19.5703125" style="57" customWidth="1"/>
    <col min="10" max="10" width="8.7109375" style="58" customWidth="1"/>
    <col min="11" max="12" width="8.7109375" style="55" customWidth="1"/>
    <col min="13" max="13" width="4.42578125" style="55" customWidth="1"/>
    <col min="14" max="14" width="5.42578125" style="55" customWidth="1"/>
    <col min="15" max="16384" width="11.140625" style="55"/>
  </cols>
  <sheetData>
    <row r="1" spans="2:13" ht="67.349999999999994" customHeight="1" x14ac:dyDescent="0.25"/>
    <row r="2" spans="2:13" ht="25.9" customHeight="1" x14ac:dyDescent="0.25">
      <c r="B2" s="63"/>
      <c r="C2" s="59"/>
      <c r="D2" s="60"/>
      <c r="E2" s="61"/>
      <c r="F2" s="61"/>
      <c r="G2" s="60"/>
      <c r="H2" s="61"/>
      <c r="I2" s="61"/>
      <c r="J2" s="62"/>
      <c r="K2" s="60"/>
      <c r="L2" s="60"/>
      <c r="M2" s="65"/>
    </row>
    <row r="3" spans="2:13" ht="12.4" customHeight="1" x14ac:dyDescent="0.25">
      <c r="B3" s="64"/>
      <c r="C3" s="127" t="s">
        <v>0</v>
      </c>
      <c r="D3" s="128"/>
      <c r="E3" s="111" t="s">
        <v>1</v>
      </c>
      <c r="F3" s="112"/>
      <c r="G3" s="112"/>
      <c r="H3" s="112"/>
      <c r="I3" s="113"/>
      <c r="J3" s="107" t="s">
        <v>2</v>
      </c>
      <c r="K3" s="107"/>
      <c r="L3" s="107"/>
      <c r="M3" s="66"/>
    </row>
    <row r="4" spans="2:13" ht="12.4" customHeight="1" x14ac:dyDescent="0.25">
      <c r="B4" s="64"/>
      <c r="C4" s="129"/>
      <c r="D4" s="130"/>
      <c r="E4" s="114"/>
      <c r="F4" s="115"/>
      <c r="G4" s="115"/>
      <c r="H4" s="115"/>
      <c r="I4" s="116"/>
      <c r="J4" s="108"/>
      <c r="K4" s="108"/>
      <c r="L4" s="108"/>
      <c r="M4" s="66"/>
    </row>
    <row r="5" spans="2:13" ht="12.4" customHeight="1" x14ac:dyDescent="0.25">
      <c r="B5" s="64"/>
      <c r="C5" s="129"/>
      <c r="D5" s="130"/>
      <c r="E5" s="117" t="s">
        <v>3</v>
      </c>
      <c r="F5" s="118"/>
      <c r="G5" s="118"/>
      <c r="H5" s="118"/>
      <c r="I5" s="119"/>
      <c r="J5" s="137" t="s">
        <v>4</v>
      </c>
      <c r="K5" s="138"/>
      <c r="L5" s="135" t="s">
        <v>5</v>
      </c>
      <c r="M5" s="66"/>
    </row>
    <row r="6" spans="2:13" ht="12.4" customHeight="1" x14ac:dyDescent="0.25">
      <c r="B6" s="64"/>
      <c r="C6" s="131"/>
      <c r="D6" s="132"/>
      <c r="E6" s="120" t="s">
        <v>6</v>
      </c>
      <c r="F6" s="121"/>
      <c r="G6" s="121"/>
      <c r="H6" s="121"/>
      <c r="I6" s="122"/>
      <c r="J6" s="139"/>
      <c r="K6" s="140"/>
      <c r="L6" s="136"/>
      <c r="M6" s="66"/>
    </row>
    <row r="7" spans="2:13" ht="9.4" customHeight="1" x14ac:dyDescent="0.25">
      <c r="B7" s="64"/>
      <c r="C7" s="6"/>
      <c r="D7" s="2"/>
      <c r="E7" s="2"/>
      <c r="F7" s="2"/>
      <c r="G7" s="2"/>
      <c r="H7" s="2"/>
      <c r="I7" s="2"/>
      <c r="J7" s="42"/>
      <c r="K7" s="2"/>
      <c r="L7" s="2"/>
      <c r="M7" s="66"/>
    </row>
    <row r="8" spans="2:13" ht="17.25" customHeight="1" x14ac:dyDescent="0.25">
      <c r="B8" s="64"/>
      <c r="C8" s="125" t="s">
        <v>7</v>
      </c>
      <c r="D8" s="126"/>
      <c r="E8" s="126"/>
      <c r="F8" s="123" t="str">
        <f>Notas!B3&amp;" "&amp;Notas!B4</f>
        <v xml:space="preserve"> </v>
      </c>
      <c r="G8" s="123"/>
      <c r="H8" s="123"/>
      <c r="I8" s="124"/>
      <c r="J8" s="110" t="s">
        <v>8</v>
      </c>
      <c r="K8" s="110"/>
      <c r="L8" s="41">
        <f ca="1">TODAY()</f>
        <v>46196</v>
      </c>
      <c r="M8" s="66"/>
    </row>
    <row r="9" spans="2:13" ht="17.25" customHeight="1" x14ac:dyDescent="0.25">
      <c r="B9" s="64"/>
      <c r="C9" s="133" t="s">
        <v>9</v>
      </c>
      <c r="D9" s="134"/>
      <c r="E9" s="134"/>
      <c r="F9" s="103" t="s">
        <v>529</v>
      </c>
      <c r="G9" s="103"/>
      <c r="H9" s="103"/>
      <c r="I9" s="104"/>
      <c r="J9" s="109" t="s">
        <v>11</v>
      </c>
      <c r="K9" s="109"/>
      <c r="L9" s="25" t="str">
        <f>LEFT(Notas!A9,4)&amp;" - "&amp;IF((MID(Notas!A9,8,1))&gt;2,2,1)</f>
        <v xml:space="preserve"> - 2</v>
      </c>
      <c r="M9" s="66"/>
    </row>
    <row r="10" spans="2:13" ht="9.4" customHeight="1" x14ac:dyDescent="0.25">
      <c r="B10" s="64"/>
      <c r="C10" s="6"/>
      <c r="D10" s="26"/>
      <c r="E10" s="28"/>
      <c r="F10" s="28"/>
      <c r="G10" s="26"/>
      <c r="H10" s="43"/>
      <c r="I10" s="28"/>
      <c r="J10" s="27"/>
      <c r="K10" s="26"/>
      <c r="L10" s="26"/>
      <c r="M10" s="66"/>
    </row>
    <row r="11" spans="2:13" ht="18" customHeight="1" x14ac:dyDescent="0.25">
      <c r="B11" s="64"/>
      <c r="C11" s="141" t="s">
        <v>12</v>
      </c>
      <c r="D11" s="142"/>
      <c r="E11" s="105" t="s">
        <v>13</v>
      </c>
      <c r="F11" s="106"/>
      <c r="G11" s="22" t="s">
        <v>12</v>
      </c>
      <c r="H11" s="105" t="s">
        <v>14</v>
      </c>
      <c r="I11" s="106"/>
      <c r="J11" s="24" t="s">
        <v>15</v>
      </c>
      <c r="K11" s="23" t="s">
        <v>16</v>
      </c>
      <c r="L11" s="23" t="s">
        <v>17</v>
      </c>
      <c r="M11" s="66"/>
    </row>
    <row r="12" spans="2:13" ht="15.75" customHeight="1" x14ac:dyDescent="0.25">
      <c r="B12" s="64"/>
      <c r="C12" s="143" t="s">
        <v>18</v>
      </c>
      <c r="D12" s="33" t="s">
        <v>530</v>
      </c>
      <c r="E12" s="80" t="s">
        <v>555</v>
      </c>
      <c r="F12" s="81"/>
      <c r="G12" s="37">
        <f>IF($F$8=" ",0,IF($L$9="","",IFERROR(VLOOKUP(IFERROR(VLOOKUP(D12,Notas!B:B,1,FALSE),VLOOKUP(D12,Equivalencia!A:F,5,FALSE)),Notas!B:B,1,FALSE),VLOOKUP(D12,Equivalencia!A:H,8,FALSE))))</f>
        <v>0</v>
      </c>
      <c r="H12" s="78" t="str">
        <f>IFERROR(IF($L$9="","",IFERROR(IFERROR(VLOOKUP(G12,Equivalencia!A:B,2,FALSE),VLOOKUP(G12,Equivalencia!E:F,2,FALSE)),VLOOKUP(G12,Equivalencia!H:I,2,FALSE))),"")</f>
        <v/>
      </c>
      <c r="I12" s="81"/>
      <c r="J12" s="34">
        <v>1</v>
      </c>
      <c r="K12" s="35" t="str">
        <f>IFERROR(VLOOKUP(G12,Notas!B:K,8,FALSE)/1000,"")</f>
        <v/>
      </c>
      <c r="L12" s="36" t="str">
        <f>IFERROR(IF(VLOOKUP(G12,Notas!B:K,9,FALSE)=".000","",VLOOKUP(G12,Notas!B:K,9,FALSE)/1000),"")</f>
        <v/>
      </c>
      <c r="M12" s="66"/>
    </row>
    <row r="13" spans="2:13" ht="15.75" customHeight="1" x14ac:dyDescent="0.25">
      <c r="B13" s="64"/>
      <c r="C13" s="144"/>
      <c r="D13" s="37" t="s">
        <v>103</v>
      </c>
      <c r="E13" s="78" t="s">
        <v>367</v>
      </c>
      <c r="F13" s="79"/>
      <c r="G13" s="37">
        <f>IF($F$8=" ",0,IF($L$9="","",IFERROR(VLOOKUP(IFERROR(VLOOKUP(D13,Notas!B:B,1,FALSE),VLOOKUP(D13,Equivalencia!A:F,5,FALSE)),Notas!B:B,1,FALSE),VLOOKUP(D13,Equivalencia!A:H,8,FALSE))))</f>
        <v>0</v>
      </c>
      <c r="H13" s="78" t="str">
        <f>IFERROR(IF($L$9="","",IFERROR(IFERROR(VLOOKUP(G13,Equivalencia!A:B,2,FALSE),VLOOKUP(G13,Equivalencia!E:F,2,FALSE)),VLOOKUP(G13,Equivalencia!H:I,2,FALSE))),"")</f>
        <v/>
      </c>
      <c r="I13" s="79"/>
      <c r="J13" s="38">
        <v>2</v>
      </c>
      <c r="K13" s="39" t="str">
        <f>IFERROR(VLOOKUP(G13,Notas!B:K,8,FALSE)/1000,"")</f>
        <v/>
      </c>
      <c r="L13" s="40" t="str">
        <f>IFERROR(IF(VLOOKUP(G13,Notas!B:K,9,FALSE)=".000","",VLOOKUP(G13,Notas!B:K,9,FALSE)/1000),"")</f>
        <v/>
      </c>
      <c r="M13" s="66"/>
    </row>
    <row r="14" spans="2:13" ht="15.75" customHeight="1" x14ac:dyDescent="0.25">
      <c r="B14" s="64"/>
      <c r="C14" s="144"/>
      <c r="D14" s="37" t="s">
        <v>567</v>
      </c>
      <c r="E14" s="78" t="s">
        <v>568</v>
      </c>
      <c r="F14" s="79"/>
      <c r="G14" s="37">
        <f>IF($F$8=" ",0,IF($L$9="","",IFERROR(VLOOKUP(IFERROR(VLOOKUP(D14,Notas!B:B,1,FALSE),VLOOKUP(D14,Equivalencia!A:F,5,FALSE)),Notas!B:B,1,FALSE),VLOOKUP(D14,Equivalencia!A:H,8,FALSE))))</f>
        <v>0</v>
      </c>
      <c r="H14" s="78" t="str">
        <f>IFERROR(IF($L$9="","",IFERROR(IFERROR(VLOOKUP(G14,Equivalencia!A:B,2,FALSE),VLOOKUP(G14,Equivalencia!E:F,2,FALSE)),VLOOKUP(G14,Equivalencia!H:I,2,FALSE))),"")</f>
        <v/>
      </c>
      <c r="I14" s="79"/>
      <c r="J14" s="38">
        <v>3</v>
      </c>
      <c r="K14" s="39" t="str">
        <f>IFERROR(VLOOKUP(G14,Notas!B:K,8,FALSE)/1000,"")</f>
        <v/>
      </c>
      <c r="L14" s="40" t="str">
        <f>IFERROR(IF(VLOOKUP(G14,Notas!B:K,9,FALSE)=".000","",VLOOKUP(G14,Notas!B:K,9,FALSE)/1000),"")</f>
        <v/>
      </c>
      <c r="M14" s="66"/>
    </row>
    <row r="15" spans="2:13" ht="15.75" customHeight="1" x14ac:dyDescent="0.25">
      <c r="B15" s="64"/>
      <c r="C15" s="144"/>
      <c r="D15" s="37" t="s">
        <v>533</v>
      </c>
      <c r="E15" s="78" t="s">
        <v>556</v>
      </c>
      <c r="F15" s="79"/>
      <c r="G15" s="37">
        <f>IF($F$8=" ",0,IF($L$9="","",IFERROR(VLOOKUP(IFERROR(VLOOKUP(D15,Notas!B:B,1,FALSE),VLOOKUP(D15,Equivalencia!A:F,5,FALSE)),Notas!B:B,1,FALSE),VLOOKUP(D15,Equivalencia!A:H,8,FALSE))))</f>
        <v>0</v>
      </c>
      <c r="H15" s="78" t="str">
        <f>IFERROR(IF($L$9="","",IFERROR(IFERROR(VLOOKUP(G15,Equivalencia!A:B,2,FALSE),VLOOKUP(G15,Equivalencia!E:F,2,FALSE)),VLOOKUP(G15,Equivalencia!H:I,2,FALSE))),"")</f>
        <v/>
      </c>
      <c r="I15" s="79"/>
      <c r="J15" s="38">
        <v>1</v>
      </c>
      <c r="K15" s="39" t="str">
        <f>IFERROR(VLOOKUP(G15,Notas!B:K,8,FALSE)/1000,"")</f>
        <v/>
      </c>
      <c r="L15" s="40" t="str">
        <f>IFERROR(IF(VLOOKUP(G15,Notas!B:K,9,FALSE)=".000","",VLOOKUP(G15,Notas!B:K,9,FALSE)/1000),"")</f>
        <v/>
      </c>
      <c r="M15" s="66"/>
    </row>
    <row r="16" spans="2:13" ht="15.75" customHeight="1" x14ac:dyDescent="0.25">
      <c r="B16" s="64"/>
      <c r="C16" s="144"/>
      <c r="D16" s="37" t="s">
        <v>534</v>
      </c>
      <c r="E16" s="78" t="s">
        <v>550</v>
      </c>
      <c r="F16" s="79"/>
      <c r="G16" s="37">
        <f>IF($F$8=" ",0,IF($L$9="","",IFERROR(VLOOKUP(IFERROR(VLOOKUP(D16,Notas!B:B,1,FALSE),VLOOKUP(D16,Equivalencia!A:F,5,FALSE)),Notas!B:B,1,FALSE),VLOOKUP(D16,Equivalencia!A:H,8,FALSE))))</f>
        <v>0</v>
      </c>
      <c r="H16" s="78" t="str">
        <f>IFERROR(IF($L$9="","",IFERROR(IFERROR(VLOOKUP(G16,Equivalencia!A:B,2,FALSE),VLOOKUP(G16,Equivalencia!E:F,2,FALSE)),VLOOKUP(G16,Equivalencia!H:I,2,FALSE))),"")</f>
        <v/>
      </c>
      <c r="I16" s="79"/>
      <c r="J16" s="38">
        <v>1</v>
      </c>
      <c r="K16" s="39" t="str">
        <f>IFERROR(VLOOKUP(G16,Notas!B:K,8,FALSE)/1000,"")</f>
        <v/>
      </c>
      <c r="L16" s="40" t="str">
        <f>IFERROR(IF(VLOOKUP(G16,Notas!B:K,9,FALSE)=".000","",VLOOKUP(G16,Notas!B:K,9,FALSE)/1000),"")</f>
        <v/>
      </c>
      <c r="M16" s="66"/>
    </row>
    <row r="17" spans="2:13" ht="15.75" customHeight="1" x14ac:dyDescent="0.25">
      <c r="B17" s="64"/>
      <c r="C17" s="144"/>
      <c r="D17" s="37" t="s">
        <v>76</v>
      </c>
      <c r="E17" s="78" t="s">
        <v>366</v>
      </c>
      <c r="F17" s="79"/>
      <c r="G17" s="37">
        <f>IF($F$8=" ",0,IF($L$9="","",IFERROR(VLOOKUP(IFERROR(VLOOKUP(D17,Notas!B:B,1,FALSE),VLOOKUP(D17,Equivalencia!A:F,5,FALSE)),Notas!B:B,1,FALSE),VLOOKUP(D17,Equivalencia!A:H,8,FALSE))))</f>
        <v>0</v>
      </c>
      <c r="H17" s="78" t="str">
        <f>IFERROR(IF($L$9="","",IFERROR(IFERROR(VLOOKUP(G17,Equivalencia!A:B,2,FALSE),VLOOKUP(G17,Equivalencia!E:F,2,FALSE)),VLOOKUP(G17,Equivalencia!H:I,2,FALSE))),"")</f>
        <v/>
      </c>
      <c r="I17" s="79"/>
      <c r="J17" s="38">
        <v>2</v>
      </c>
      <c r="K17" s="39" t="str">
        <f>IFERROR(VLOOKUP(G17,Notas!B:K,8,FALSE)/1000,"")</f>
        <v/>
      </c>
      <c r="L17" s="40" t="str">
        <f>IFERROR(IF(VLOOKUP(G17,Notas!B:K,9,FALSE)=".000","",VLOOKUP(G17,Notas!B:K,9,FALSE)/1000),"")</f>
        <v/>
      </c>
      <c r="M17" s="66"/>
    </row>
    <row r="18" spans="2:13" ht="15.75" customHeight="1" x14ac:dyDescent="0.25">
      <c r="B18" s="64"/>
      <c r="C18" s="144"/>
      <c r="D18" s="84" t="s">
        <v>535</v>
      </c>
      <c r="E18" s="87" t="s">
        <v>142</v>
      </c>
      <c r="F18" s="88"/>
      <c r="G18" s="84">
        <f>IF($F$8=" ",0,IF($L$9="","",IFERROR(VLOOKUP(IFERROR(VLOOKUP(D18,Notas!B:B,1,FALSE),VLOOKUP(D18,Equivalencia!A:F,5,FALSE)),Notas!B:B,1,FALSE),VLOOKUP(D18,Equivalencia!A:H,8,FALSE))))</f>
        <v>0</v>
      </c>
      <c r="H18" s="87" t="str">
        <f>IFERROR(IF($L$9="","",IFERROR(IFERROR(VLOOKUP(G18,Equivalencia!A:B,2,FALSE),VLOOKUP(G18,Equivalencia!E:F,2,FALSE)),VLOOKUP(G18,Equivalencia!H:I,2,FALSE))),"")</f>
        <v/>
      </c>
      <c r="I18" s="88"/>
      <c r="J18" s="89">
        <v>3</v>
      </c>
      <c r="K18" s="90" t="str">
        <f>IFERROR(VLOOKUP(G18,Notas!B:K,8,FALSE)/1000,"")</f>
        <v/>
      </c>
      <c r="L18" s="91" t="str">
        <f>IFERROR(IF(VLOOKUP(G18,Notas!B:K,9,FALSE)=".000","",VLOOKUP(G18,Notas!B:K,9,FALSE)/1000),"")</f>
        <v/>
      </c>
      <c r="M18" s="66"/>
    </row>
    <row r="19" spans="2:13" ht="15.75" customHeight="1" x14ac:dyDescent="0.25">
      <c r="B19" s="64"/>
      <c r="C19" s="144"/>
      <c r="D19" s="33" t="s">
        <v>536</v>
      </c>
      <c r="E19" s="80" t="s">
        <v>563</v>
      </c>
      <c r="F19" s="81"/>
      <c r="G19" s="33">
        <f>IF($F$8=" ",0,IF($L$9="","",IFERROR(VLOOKUP(IFERROR(VLOOKUP(D19,Notas!B:B,1,FALSE),VLOOKUP(D19,Equivalencia!A:F,5,FALSE)),Notas!B:B,1,FALSE),VLOOKUP(D19,Equivalencia!A:H,8,FALSE))))</f>
        <v>0</v>
      </c>
      <c r="H19" s="80" t="str">
        <f>IFERROR(IF($L$9="","",IFERROR(IFERROR(VLOOKUP(G19,Equivalencia!A:B,2,FALSE),VLOOKUP(G19,Equivalencia!E:F,2,FALSE)),VLOOKUP(G19,Equivalencia!H:I,2,FALSE))),"")</f>
        <v/>
      </c>
      <c r="I19" s="81"/>
      <c r="J19" s="34">
        <v>3</v>
      </c>
      <c r="K19" s="35" t="str">
        <f>IFERROR(VLOOKUP(G19,Notas!B:K,8,FALSE)/1000,"")</f>
        <v/>
      </c>
      <c r="L19" s="36" t="str">
        <f>IFERROR(IF(VLOOKUP(G19,Notas!B:K,9,FALSE)=".000","",VLOOKUP(G19,Notas!B:K,9,FALSE)/1000),"")</f>
        <v/>
      </c>
      <c r="M19" s="66"/>
    </row>
    <row r="20" spans="2:13" ht="15.75" customHeight="1" x14ac:dyDescent="0.25">
      <c r="B20" s="64"/>
      <c r="C20" s="144"/>
      <c r="D20" s="37" t="s">
        <v>537</v>
      </c>
      <c r="E20" s="78" t="s">
        <v>553</v>
      </c>
      <c r="F20" s="79"/>
      <c r="G20" s="37">
        <f>IF($F$8=" ",0,IF($L$9="","",IFERROR(VLOOKUP(IFERROR(VLOOKUP(D20,Notas!B:B,1,FALSE),VLOOKUP(D20,Equivalencia!A:F,5,FALSE)),Notas!B:B,1,FALSE),VLOOKUP(D20,Equivalencia!A:H,8,FALSE))))</f>
        <v>0</v>
      </c>
      <c r="H20" s="78" t="str">
        <f>IFERROR(IF($L$9="","",IFERROR(IFERROR(VLOOKUP(G20,Equivalencia!A:B,2,FALSE),VLOOKUP(G20,Equivalencia!E:F,2,FALSE)),VLOOKUP(G20,Equivalencia!H:I,2,FALSE))),"")</f>
        <v/>
      </c>
      <c r="I20" s="79"/>
      <c r="J20" s="38">
        <v>3</v>
      </c>
      <c r="K20" s="39" t="str">
        <f>IFERROR(VLOOKUP(G20,Notas!B:K,8,FALSE)/1000,"")</f>
        <v/>
      </c>
      <c r="L20" s="40" t="str">
        <f>IFERROR(IF(VLOOKUP(G20,Notas!B:K,9,FALSE)=".000","",VLOOKUP(G20,Notas!B:K,9,FALSE)/1000),"")</f>
        <v/>
      </c>
      <c r="M20" s="66"/>
    </row>
    <row r="21" spans="2:13" ht="15.75" customHeight="1" x14ac:dyDescent="0.25">
      <c r="B21" s="64"/>
      <c r="C21" s="144"/>
      <c r="D21" s="37" t="s">
        <v>539</v>
      </c>
      <c r="E21" s="78" t="s">
        <v>564</v>
      </c>
      <c r="F21" s="94"/>
      <c r="G21" s="37">
        <f>IF($F$8=" ",0,IF($L$9="","",IFERROR(VLOOKUP(IFERROR(VLOOKUP(D21,Notas!B:B,1,FALSE),VLOOKUP(D21,Equivalencia!A:F,5,FALSE)),Notas!B:B,1,FALSE),VLOOKUP(D21,Equivalencia!A:H,8,FALSE))))</f>
        <v>0</v>
      </c>
      <c r="H21" s="78" t="str">
        <f>IFERROR(IF($L$9="","",IFERROR(IFERROR(VLOOKUP(G21,Equivalencia!A:B,2,FALSE),VLOOKUP(G21,Equivalencia!E:F,2,FALSE)),VLOOKUP(G21,Equivalencia!H:I,2,FALSE))),"")</f>
        <v/>
      </c>
      <c r="I21" s="79"/>
      <c r="J21" s="95">
        <v>1</v>
      </c>
      <c r="K21" s="39" t="str">
        <f>IFERROR(VLOOKUP(G21,Notas!B:K,8,FALSE)/1000,"")</f>
        <v/>
      </c>
      <c r="L21" s="40" t="str">
        <f>IFERROR(IF(VLOOKUP(G21,Notas!B:K,9,FALSE)=".000","",VLOOKUP(G21,Notas!B:K,9,FALSE)/1000),"")</f>
        <v/>
      </c>
      <c r="M21" s="66"/>
    </row>
    <row r="22" spans="2:13" ht="15.75" customHeight="1" x14ac:dyDescent="0.25">
      <c r="B22" s="64"/>
      <c r="C22" s="144"/>
      <c r="D22" s="92" t="s">
        <v>540</v>
      </c>
      <c r="E22" s="93" t="s">
        <v>565</v>
      </c>
      <c r="F22" s="94"/>
      <c r="G22" s="37">
        <f>IF($F$8=" ",0,IF($L$9="","",IFERROR(VLOOKUP(IFERROR(VLOOKUP(D22,Notas!B:B,1,FALSE),VLOOKUP(D22,Equivalencia!A:F,5,FALSE)),Notas!B:B,1,FALSE),VLOOKUP(D22,Equivalencia!A:H,8,FALSE))))</f>
        <v>0</v>
      </c>
      <c r="H22" s="78" t="str">
        <f>IFERROR(IF($L$9="","",IFERROR(IFERROR(VLOOKUP(G22,Equivalencia!A:B,2,FALSE),VLOOKUP(G22,Equivalencia!E:F,2,FALSE)),VLOOKUP(G22,Equivalencia!H:I,2,FALSE))),"")</f>
        <v/>
      </c>
      <c r="I22" s="79"/>
      <c r="J22" s="95">
        <v>1</v>
      </c>
      <c r="K22" s="39" t="str">
        <f>IFERROR(VLOOKUP(G22,Notas!B:K,8,FALSE)/1000,"")</f>
        <v/>
      </c>
      <c r="L22" s="40" t="str">
        <f>IFERROR(IF(VLOOKUP(G22,Notas!B:K,9,FALSE)=".000","",VLOOKUP(G22,Notas!B:K,9,FALSE)/1000),"")</f>
        <v/>
      </c>
      <c r="M22" s="66"/>
    </row>
    <row r="23" spans="2:13" ht="15.75" customHeight="1" x14ac:dyDescent="0.25">
      <c r="B23" s="64"/>
      <c r="C23" s="144"/>
      <c r="D23" s="84" t="s">
        <v>541</v>
      </c>
      <c r="E23" s="87" t="s">
        <v>551</v>
      </c>
      <c r="F23" s="88"/>
      <c r="G23" s="37">
        <f>IF($F$8=" ",0,IF($L$9="","",IFERROR(VLOOKUP(IFERROR(VLOOKUP(D23,Notas!B:B,1,FALSE),VLOOKUP(D23,Equivalencia!A:F,5,FALSE)),Notas!B:B,1,FALSE),VLOOKUP(D23,Equivalencia!A:H,8,FALSE))))</f>
        <v>0</v>
      </c>
      <c r="H23" s="78" t="str">
        <f>IFERROR(IF($L$9="","",IFERROR(IFERROR(VLOOKUP(G23,Equivalencia!A:B,2,FALSE),VLOOKUP(G23,Equivalencia!E:F,2,FALSE)),VLOOKUP(G23,Equivalencia!H:I,2,FALSE))),"")</f>
        <v/>
      </c>
      <c r="I23" s="79"/>
      <c r="J23" s="89">
        <v>1</v>
      </c>
      <c r="K23" s="39" t="str">
        <f>IFERROR(VLOOKUP(G23,Notas!B:K,8,FALSE)/1000,"")</f>
        <v/>
      </c>
      <c r="L23" s="40" t="str">
        <f>IFERROR(IF(VLOOKUP(G23,Notas!B:K,9,FALSE)=".000","",VLOOKUP(G23,Notas!B:K,9,FALSE)/1000),"")</f>
        <v/>
      </c>
      <c r="M23" s="66"/>
    </row>
    <row r="24" spans="2:13" ht="15.75" customHeight="1" x14ac:dyDescent="0.25">
      <c r="B24" s="64"/>
      <c r="C24" s="144"/>
      <c r="D24" s="33" t="s">
        <v>542</v>
      </c>
      <c r="E24" s="80" t="s">
        <v>557</v>
      </c>
      <c r="F24" s="81"/>
      <c r="G24" s="33">
        <f>IF($F$8=" ",0,IF($L$9="","",IFERROR(VLOOKUP(IFERROR(VLOOKUP(D24,Notas!B:B,1,FALSE),VLOOKUP(D24,Equivalencia!A:F,5,FALSE)),Notas!B:B,1,FALSE),VLOOKUP(D24,Equivalencia!A:H,8,FALSE))))</f>
        <v>0</v>
      </c>
      <c r="H24" s="80" t="str">
        <f>IFERROR(IF($L$9="","",IFERROR(IFERROR(VLOOKUP(G24,Equivalencia!A:B,2,FALSE),VLOOKUP(G24,Equivalencia!E:F,2,FALSE)),VLOOKUP(G24,Equivalencia!H:I,2,FALSE))),"")</f>
        <v/>
      </c>
      <c r="I24" s="81"/>
      <c r="J24" s="34">
        <v>3</v>
      </c>
      <c r="K24" s="35" t="str">
        <f>IFERROR(VLOOKUP(G24,Notas!B:K,8,FALSE)/1000,"")</f>
        <v/>
      </c>
      <c r="L24" s="36" t="str">
        <f>IFERROR(IF(VLOOKUP(G24,Notas!B:K,9,FALSE)=".000","",VLOOKUP(G24,Notas!B:K,9,FALSE)/1000),"")</f>
        <v/>
      </c>
      <c r="M24" s="66"/>
    </row>
    <row r="25" spans="2:13" ht="15.75" customHeight="1" x14ac:dyDescent="0.25">
      <c r="B25" s="64"/>
      <c r="C25" s="144"/>
      <c r="D25" s="37" t="s">
        <v>543</v>
      </c>
      <c r="E25" s="78" t="s">
        <v>566</v>
      </c>
      <c r="F25" s="79"/>
      <c r="G25" s="37">
        <f>IF($F$8=" ",0,IF($L$9="","",IFERROR(VLOOKUP(IFERROR(VLOOKUP(D25,Notas!B:B,1,FALSE),VLOOKUP(D25,Equivalencia!A:F,5,FALSE)),Notas!B:B,1,FALSE),VLOOKUP(D25,Equivalencia!A:H,8,FALSE))))</f>
        <v>0</v>
      </c>
      <c r="H25" s="78" t="str">
        <f>IFERROR(IF($L$9="","",IFERROR(IFERROR(VLOOKUP(G25,Equivalencia!A:B,2,FALSE),VLOOKUP(G25,Equivalencia!E:F,2,FALSE)),VLOOKUP(G25,Equivalencia!H:I,2,FALSE))),"")</f>
        <v/>
      </c>
      <c r="I25" s="79"/>
      <c r="J25" s="38">
        <v>2</v>
      </c>
      <c r="K25" s="39" t="str">
        <f>IFERROR(VLOOKUP(G25,Notas!B:K,8,FALSE)/1000,"")</f>
        <v/>
      </c>
      <c r="L25" s="40" t="str">
        <f>IFERROR(IF(VLOOKUP(G25,Notas!B:K,9,FALSE)=".000","",VLOOKUP(G25,Notas!B:K,9,FALSE)/1000),"")</f>
        <v/>
      </c>
      <c r="M25" s="66"/>
    </row>
    <row r="26" spans="2:13" ht="15.75" customHeight="1" x14ac:dyDescent="0.25">
      <c r="B26" s="64"/>
      <c r="C26" s="144"/>
      <c r="D26" s="37" t="s">
        <v>544</v>
      </c>
      <c r="E26" s="78" t="s">
        <v>552</v>
      </c>
      <c r="F26" s="79"/>
      <c r="G26" s="37">
        <f>IF($F$8=" ",0,IF($L$9="","",IFERROR(VLOOKUP(IFERROR(VLOOKUP(D26,Notas!B:B,1,FALSE),VLOOKUP(D26,Equivalencia!A:F,5,FALSE)),Notas!B:B,1,FALSE),VLOOKUP(D26,Equivalencia!A:H,8,FALSE))))</f>
        <v>0</v>
      </c>
      <c r="H26" s="78" t="str">
        <f>IFERROR(IF($L$9="","",IFERROR(IFERROR(VLOOKUP(G26,Equivalencia!A:B,2,FALSE),VLOOKUP(G26,Equivalencia!E:F,2,FALSE)),VLOOKUP(G26,Equivalencia!H:I,2,FALSE))),"")</f>
        <v/>
      </c>
      <c r="I26" s="79"/>
      <c r="J26" s="38">
        <v>2</v>
      </c>
      <c r="K26" s="39" t="str">
        <f>IFERROR(VLOOKUP(G26,Notas!B:K,8,FALSE)/1000,"")</f>
        <v/>
      </c>
      <c r="L26" s="40" t="str">
        <f>IFERROR(IF(VLOOKUP(G26,Notas!B:K,9,FALSE)=".000","",VLOOKUP(G26,Notas!B:K,9,FALSE)/1000),"")</f>
        <v/>
      </c>
      <c r="M26" s="66"/>
    </row>
    <row r="27" spans="2:13" ht="15.75" customHeight="1" x14ac:dyDescent="0.25">
      <c r="B27" s="64"/>
      <c r="C27" s="144"/>
      <c r="D27" s="37" t="s">
        <v>545</v>
      </c>
      <c r="E27" s="78" t="s">
        <v>561</v>
      </c>
      <c r="F27" s="79"/>
      <c r="G27" s="37">
        <f>IF($F$8=" ",0,IF($L$9="","",IFERROR(VLOOKUP(IFERROR(VLOOKUP(D27,Notas!B:B,1,FALSE),VLOOKUP(D27,Equivalencia!A:F,5,FALSE)),Notas!B:B,1,FALSE),VLOOKUP(D27,Equivalencia!A:H,8,FALSE))))</f>
        <v>0</v>
      </c>
      <c r="H27" s="78" t="str">
        <f>IFERROR(IF($L$9="","",IFERROR(IFERROR(VLOOKUP(G27,Equivalencia!A:B,2,FALSE),VLOOKUP(G27,Equivalencia!E:F,2,FALSE)),VLOOKUP(G27,Equivalencia!H:I,2,FALSE))),"")</f>
        <v/>
      </c>
      <c r="I27" s="79"/>
      <c r="J27" s="38">
        <v>2</v>
      </c>
      <c r="K27" s="39" t="str">
        <f>IFERROR(VLOOKUP(G27,Notas!B:K,8,FALSE)/1000,"")</f>
        <v/>
      </c>
      <c r="L27" s="40" t="str">
        <f>IFERROR(IF(VLOOKUP(G27,Notas!B:K,9,FALSE)=".000","",VLOOKUP(G27,Notas!B:K,9,FALSE)/1000),"")</f>
        <v/>
      </c>
      <c r="M27" s="66"/>
    </row>
    <row r="28" spans="2:13" ht="15.75" customHeight="1" x14ac:dyDescent="0.25">
      <c r="B28" s="64"/>
      <c r="C28" s="144"/>
      <c r="D28" s="37" t="s">
        <v>546</v>
      </c>
      <c r="E28" s="78" t="s">
        <v>558</v>
      </c>
      <c r="F28" s="79"/>
      <c r="G28" s="37">
        <f>IF($F$8=" ",0,IF($L$9="","",IFERROR(VLOOKUP(IFERROR(VLOOKUP(D28,Notas!B:B,1,FALSE),VLOOKUP(D28,Equivalencia!A:F,5,FALSE)),Notas!B:B,1,FALSE),VLOOKUP(D28,Equivalencia!A:H,8,FALSE))))</f>
        <v>0</v>
      </c>
      <c r="H28" s="78" t="str">
        <f>IFERROR(IF($L$9="","",IFERROR(IFERROR(VLOOKUP(G28,Equivalencia!A:B,2,FALSE),VLOOKUP(G28,Equivalencia!E:F,2,FALSE)),VLOOKUP(G28,Equivalencia!H:I,2,FALSE))),"")</f>
        <v/>
      </c>
      <c r="I28" s="79"/>
      <c r="J28" s="38">
        <v>2</v>
      </c>
      <c r="K28" s="39" t="str">
        <f>IFERROR(VLOOKUP(G28,Notas!B:K,8,FALSE)/1000,"")</f>
        <v/>
      </c>
      <c r="L28" s="40" t="str">
        <f>IFERROR(IF(VLOOKUP(G28,Notas!B:K,9,FALSE)=".000","",VLOOKUP(G28,Notas!B:K,9,FALSE)/1000),"")</f>
        <v/>
      </c>
      <c r="M28" s="66"/>
    </row>
    <row r="29" spans="2:13" ht="15.75" customHeight="1" x14ac:dyDescent="0.25">
      <c r="B29" s="64"/>
      <c r="C29" s="144"/>
      <c r="D29" s="37" t="s">
        <v>547</v>
      </c>
      <c r="E29" s="78" t="s">
        <v>560</v>
      </c>
      <c r="F29" s="79"/>
      <c r="G29" s="37">
        <f>IF($F$8=" ",0,IF($L$9="","",IFERROR(VLOOKUP(IFERROR(VLOOKUP(D29,Notas!B:B,1,FALSE),VLOOKUP(D29,Equivalencia!A:F,5,FALSE)),Notas!B:B,1,FALSE),VLOOKUP(D29,Equivalencia!A:H,8,FALSE))))</f>
        <v>0</v>
      </c>
      <c r="H29" s="78" t="str">
        <f>IFERROR(IF($L$9="","",IFERROR(IFERROR(VLOOKUP(G29,Equivalencia!A:B,2,FALSE),VLOOKUP(G29,Equivalencia!E:F,2,FALSE)),VLOOKUP(G29,Equivalencia!H:I,2,FALSE))),"")</f>
        <v/>
      </c>
      <c r="I29" s="79"/>
      <c r="J29" s="38">
        <v>1</v>
      </c>
      <c r="K29" s="39" t="str">
        <f>IFERROR(VLOOKUP(G29,Notas!B:K,8,FALSE)/1000,"")</f>
        <v/>
      </c>
      <c r="L29" s="40" t="str">
        <f>IFERROR(IF(VLOOKUP(G29,Notas!B:K,9,FALSE)=".000","",VLOOKUP(G29,Notas!B:K,9,FALSE)/1000),"")</f>
        <v/>
      </c>
      <c r="M29" s="66"/>
    </row>
    <row r="30" spans="2:13" ht="15.75" customHeight="1" x14ac:dyDescent="0.25">
      <c r="B30" s="64"/>
      <c r="C30" s="145"/>
      <c r="D30" s="84" t="s">
        <v>549</v>
      </c>
      <c r="E30" s="87" t="s">
        <v>554</v>
      </c>
      <c r="F30" s="88"/>
      <c r="G30" s="84">
        <f>IF($F$8=" ",0,IF($L$9="","",IFERROR(VLOOKUP(IFERROR(VLOOKUP(D30,Notas!B:B,1,FALSE),VLOOKUP(D30,Equivalencia!A:F,5,FALSE)),Notas!B:B,1,FALSE),VLOOKUP(D30,Equivalencia!A:H,8,FALSE))))</f>
        <v>0</v>
      </c>
      <c r="H30" s="87" t="str">
        <f>IFERROR(IF($L$9="","",IFERROR(IFERROR(VLOOKUP(G30,Equivalencia!A:B,2,FALSE),VLOOKUP(G30,Equivalencia!E:F,2,FALSE)),VLOOKUP(G30,Equivalencia!H:I,2,FALSE))),"")</f>
        <v/>
      </c>
      <c r="I30" s="88"/>
      <c r="J30" s="89">
        <v>2</v>
      </c>
      <c r="K30" s="90" t="str">
        <f>IFERROR(VLOOKUP(G30,Notas!B:K,8,FALSE)/1000,"")</f>
        <v/>
      </c>
      <c r="L30" s="91" t="str">
        <f>IFERROR(IF(VLOOKUP(G30,Notas!B:K,9,FALSE)=".000","",VLOOKUP(G30,Notas!B:K,9,FALSE)/1000),"")</f>
        <v/>
      </c>
      <c r="M30" s="66"/>
    </row>
    <row r="31" spans="2:13" ht="15.75" customHeight="1" x14ac:dyDescent="0.25">
      <c r="B31" s="64"/>
      <c r="C31" s="143" t="s">
        <v>93</v>
      </c>
      <c r="D31" s="37"/>
      <c r="E31" s="78" t="s">
        <v>179</v>
      </c>
      <c r="F31" s="79"/>
      <c r="G31" s="33" t="str">
        <f>Optativas!D4</f>
        <v>GL004</v>
      </c>
      <c r="H31" s="96" t="str">
        <f>IFERROR(VLOOKUP(G31,Optativas!D:F,2,FALSE),"")</f>
        <v>Electiva I</v>
      </c>
      <c r="I31" s="81"/>
      <c r="J31" s="34">
        <v>2</v>
      </c>
      <c r="K31" s="35" t="str">
        <f>IFERROR(VLOOKUP(G31,Notas!B:K,8,FALSE)/1000,"")</f>
        <v/>
      </c>
      <c r="L31" s="36" t="str">
        <f>IFERROR(IF(VLOOKUP(G31,Notas!B:K,9,FALSE)=".000","",VLOOKUP(G31,Notas!B:K,9,FALSE)/1000),"")</f>
        <v/>
      </c>
      <c r="M31" s="66"/>
    </row>
    <row r="32" spans="2:13" ht="15.75" customHeight="1" x14ac:dyDescent="0.25">
      <c r="B32" s="64"/>
      <c r="C32" s="144"/>
      <c r="D32" s="37"/>
      <c r="E32" s="78" t="s">
        <v>181</v>
      </c>
      <c r="F32" s="79"/>
      <c r="G32" s="37" t="str">
        <f>Optativas!D5</f>
        <v>GL722</v>
      </c>
      <c r="H32" s="97" t="str">
        <f>IFERROR(VLOOKUP(G32,Optativas!D:F,2,FALSE),"")</f>
        <v>Electiva III</v>
      </c>
      <c r="I32" s="79"/>
      <c r="J32" s="38">
        <v>2</v>
      </c>
      <c r="K32" s="39" t="str">
        <f>IFERROR(VLOOKUP(G32,Notas!B:K,8,FALSE)/1000,"")</f>
        <v/>
      </c>
      <c r="L32" s="40" t="str">
        <f>IFERROR(IF(VLOOKUP(G32,Notas!B:K,9,FALSE)=".000","",VLOOKUP(G32,Notas!B:K,9,FALSE)/1000),"")</f>
        <v/>
      </c>
      <c r="M32" s="66"/>
    </row>
    <row r="33" spans="2:14" ht="15.75" customHeight="1" x14ac:dyDescent="0.25">
      <c r="B33" s="64"/>
      <c r="C33" s="144"/>
      <c r="D33" s="37"/>
      <c r="E33" s="78" t="s">
        <v>182</v>
      </c>
      <c r="F33" s="79"/>
      <c r="G33" s="37" t="str">
        <f>Optativas!D6</f>
        <v>GL731</v>
      </c>
      <c r="H33" s="97" t="str">
        <f>IFERROR(VLOOKUP(G33,Optativas!D:F,2,FALSE),"")</f>
        <v>Lean Logístic</v>
      </c>
      <c r="I33" s="79"/>
      <c r="J33" s="38">
        <v>2</v>
      </c>
      <c r="K33" s="39" t="str">
        <f>IFERROR(VLOOKUP(G33,Notas!B:K,8,FALSE)/1000,"")</f>
        <v/>
      </c>
      <c r="L33" s="40" t="str">
        <f>IFERROR(IF(VLOOKUP(G33,Notas!B:K,9,FALSE)=".000","",VLOOKUP(G33,Notas!B:K,9,FALSE)/1000),"")</f>
        <v/>
      </c>
      <c r="M33" s="66"/>
    </row>
    <row r="34" spans="2:14" ht="9.4" customHeight="1" x14ac:dyDescent="0.25">
      <c r="B34" s="64"/>
      <c r="C34" s="29"/>
      <c r="D34" s="30"/>
      <c r="E34" s="31"/>
      <c r="F34" s="31"/>
      <c r="G34" s="30"/>
      <c r="H34" s="31"/>
      <c r="I34" s="31"/>
      <c r="J34" s="32"/>
      <c r="K34" s="30"/>
      <c r="L34" s="30"/>
      <c r="M34" s="66"/>
      <c r="N34" s="55" t="s">
        <v>0</v>
      </c>
    </row>
    <row r="35" spans="2:14" ht="13.5" customHeight="1" x14ac:dyDescent="0.25">
      <c r="B35" s="64"/>
      <c r="C35" s="153" t="s">
        <v>94</v>
      </c>
      <c r="D35" s="154"/>
      <c r="E35" s="154"/>
      <c r="F35" s="154"/>
      <c r="G35" s="154"/>
      <c r="H35" s="154"/>
      <c r="I35" s="155"/>
      <c r="J35" s="147">
        <f>SUM(J12:J33)</f>
        <v>42</v>
      </c>
      <c r="K35" s="148"/>
      <c r="L35" s="149"/>
      <c r="M35" s="66"/>
    </row>
    <row r="36" spans="2:14" ht="13.5" customHeight="1" x14ac:dyDescent="0.25">
      <c r="B36" s="64"/>
      <c r="C36" s="161" t="s">
        <v>95</v>
      </c>
      <c r="D36" s="162"/>
      <c r="E36" s="162"/>
      <c r="F36" s="162"/>
      <c r="G36" s="162"/>
      <c r="H36" s="162"/>
      <c r="I36" s="163"/>
      <c r="J36" s="150">
        <f>SUMPRODUCT(J12:J33,K12:K33)/J35</f>
        <v>0</v>
      </c>
      <c r="K36" s="151"/>
      <c r="L36" s="152"/>
      <c r="M36" s="66"/>
    </row>
    <row r="37" spans="2:14" ht="9.4" customHeight="1" x14ac:dyDescent="0.25">
      <c r="B37" s="64"/>
      <c r="C37" s="6"/>
      <c r="D37" s="3"/>
      <c r="E37" s="4"/>
      <c r="F37" s="4"/>
      <c r="G37" s="3"/>
      <c r="H37" s="4"/>
      <c r="I37" s="4"/>
      <c r="J37" s="5"/>
      <c r="K37" s="3"/>
      <c r="L37" s="3"/>
      <c r="M37" s="66"/>
    </row>
    <row r="38" spans="2:14" ht="12.4" customHeight="1" x14ac:dyDescent="0.25">
      <c r="B38" s="64"/>
      <c r="C38" s="75" t="s">
        <v>96</v>
      </c>
      <c r="D38" s="85"/>
      <c r="E38" s="76"/>
      <c r="F38" s="76"/>
      <c r="G38" s="76"/>
      <c r="H38" s="76"/>
      <c r="I38" s="76"/>
      <c r="J38" s="76"/>
      <c r="K38" s="76"/>
      <c r="L38" s="77"/>
      <c r="M38" s="66"/>
    </row>
    <row r="39" spans="2:14" ht="33.75" customHeight="1" x14ac:dyDescent="0.25">
      <c r="B39" s="64"/>
      <c r="C39" s="158"/>
      <c r="D39" s="159"/>
      <c r="E39" s="159"/>
      <c r="F39" s="159"/>
      <c r="G39" s="159"/>
      <c r="H39" s="159"/>
      <c r="I39" s="159"/>
      <c r="J39" s="159"/>
      <c r="K39" s="159"/>
      <c r="L39" s="160"/>
      <c r="M39" s="66"/>
    </row>
    <row r="40" spans="2:14" ht="8.25" customHeight="1" x14ac:dyDescent="0.25">
      <c r="B40" s="64"/>
      <c r="C40" s="73"/>
      <c r="D40" s="86"/>
      <c r="E40" s="73"/>
      <c r="F40" s="73"/>
      <c r="G40" s="73"/>
      <c r="H40" s="73"/>
      <c r="I40" s="73"/>
      <c r="J40" s="73"/>
      <c r="K40" s="73"/>
      <c r="L40" s="73"/>
      <c r="M40" s="66"/>
    </row>
    <row r="41" spans="2:14" ht="14.45" customHeight="1" x14ac:dyDescent="0.25">
      <c r="B41" s="64"/>
      <c r="C41" s="6"/>
      <c r="D41" s="3"/>
      <c r="E41" s="157"/>
      <c r="F41" s="157"/>
      <c r="G41" s="157"/>
      <c r="H41" s="4"/>
      <c r="I41" s="157"/>
      <c r="J41" s="157"/>
      <c r="K41" s="157"/>
      <c r="L41" s="3"/>
      <c r="M41" s="66"/>
    </row>
    <row r="42" spans="2:14" ht="10.5" customHeight="1" x14ac:dyDescent="0.25">
      <c r="B42" s="64"/>
      <c r="C42" s="6"/>
      <c r="D42" s="3"/>
      <c r="E42" s="157"/>
      <c r="F42" s="157"/>
      <c r="G42" s="157"/>
      <c r="H42" s="4"/>
      <c r="I42" s="157"/>
      <c r="J42" s="157"/>
      <c r="K42" s="157"/>
      <c r="L42" s="3"/>
      <c r="M42" s="66"/>
    </row>
    <row r="43" spans="2:14" ht="22.5" customHeight="1" x14ac:dyDescent="0.25">
      <c r="B43" s="64"/>
      <c r="C43" s="6"/>
      <c r="D43" s="3"/>
      <c r="E43" s="157"/>
      <c r="F43" s="157"/>
      <c r="G43" s="157"/>
      <c r="H43" s="4"/>
      <c r="I43" s="157"/>
      <c r="J43" s="157"/>
      <c r="K43" s="157"/>
      <c r="L43" s="3"/>
      <c r="M43" s="66"/>
    </row>
    <row r="44" spans="2:14" ht="8.25" customHeight="1" x14ac:dyDescent="0.25">
      <c r="B44" s="64"/>
      <c r="C44" s="6"/>
      <c r="D44" s="3"/>
      <c r="E44" s="157"/>
      <c r="F44" s="157"/>
      <c r="G44" s="157"/>
      <c r="H44" s="4"/>
      <c r="I44" s="157"/>
      <c r="J44" s="157"/>
      <c r="K44" s="157"/>
      <c r="L44" s="3"/>
      <c r="M44" s="66"/>
    </row>
    <row r="45" spans="2:14" ht="2.25" customHeight="1" x14ac:dyDescent="0.25">
      <c r="B45" s="64"/>
      <c r="C45" s="6"/>
      <c r="D45" s="3"/>
      <c r="E45" s="53"/>
      <c r="F45" s="53"/>
      <c r="G45" s="53"/>
      <c r="H45" s="4"/>
      <c r="I45" s="53"/>
      <c r="J45" s="53"/>
      <c r="K45" s="53"/>
      <c r="L45" s="3"/>
      <c r="M45" s="66"/>
    </row>
    <row r="46" spans="2:14" ht="13.15" customHeight="1" x14ac:dyDescent="0.25">
      <c r="B46" s="64"/>
      <c r="C46" s="6"/>
      <c r="D46" s="3"/>
      <c r="E46" s="156"/>
      <c r="F46" s="156"/>
      <c r="G46" s="156"/>
      <c r="H46" s="54"/>
      <c r="I46" s="156"/>
      <c r="J46" s="156"/>
      <c r="K46" s="156"/>
      <c r="L46" s="3"/>
      <c r="M46" s="66"/>
    </row>
    <row r="47" spans="2:14" ht="11.65" customHeight="1" x14ac:dyDescent="0.25">
      <c r="B47" s="64"/>
      <c r="C47" s="6"/>
      <c r="D47" s="3"/>
      <c r="E47" s="146" t="s">
        <v>97</v>
      </c>
      <c r="F47" s="146"/>
      <c r="G47" s="146"/>
      <c r="H47" s="54"/>
      <c r="I47" s="146" t="s">
        <v>98</v>
      </c>
      <c r="J47" s="146"/>
      <c r="K47" s="146"/>
      <c r="L47" s="3"/>
      <c r="M47" s="66"/>
    </row>
    <row r="48" spans="2:14" x14ac:dyDescent="0.25">
      <c r="B48" s="64"/>
      <c r="C48" s="6"/>
      <c r="D48" s="3"/>
      <c r="E48" s="4"/>
      <c r="F48" s="4"/>
      <c r="G48" s="3"/>
      <c r="H48" s="4"/>
      <c r="I48" s="4"/>
      <c r="J48" s="5"/>
      <c r="K48" s="3"/>
      <c r="L48" s="3"/>
      <c r="M48" s="66"/>
    </row>
    <row r="49" spans="2:13" x14ac:dyDescent="0.25">
      <c r="B49" s="67"/>
      <c r="C49" s="68"/>
      <c r="D49" s="69"/>
      <c r="E49" s="70"/>
      <c r="F49" s="70"/>
      <c r="G49" s="69"/>
      <c r="H49" s="70"/>
      <c r="I49" s="70"/>
      <c r="J49" s="71"/>
      <c r="K49" s="69"/>
      <c r="L49" s="69"/>
      <c r="M49" s="72"/>
    </row>
  </sheetData>
  <sheetProtection algorithmName="SHA-512" hashValue="lxukp3bdbdR4w/h2eOB5OEdqx4mzXldmbHuLSeAMQSnM3T/ZUUWnFA+BaXUqiSNeVPHcN2UqvJiGM9fMK9zoIQ==" saltValue="FTUyotz5EyWi4CLHFmRyWA==" spinCount="100000" sheet="1" objects="1" scenarios="1" selectLockedCells="1"/>
  <protectedRanges>
    <protectedRange sqref="C39:C40 I46:I47 E46:E47" name="Editables"/>
  </protectedRanges>
  <autoFilter ref="C11:L33" xr:uid="{00000000-0009-0000-0000-000000000000}">
    <filterColumn colId="0" showButton="0"/>
    <filterColumn colId="2" showButton="0"/>
    <filterColumn colId="5" showButton="0"/>
  </autoFilter>
  <mergeCells count="29">
    <mergeCell ref="C31:C33"/>
    <mergeCell ref="C12:C30"/>
    <mergeCell ref="I47:K47"/>
    <mergeCell ref="J35:L35"/>
    <mergeCell ref="J36:L36"/>
    <mergeCell ref="C35:I35"/>
    <mergeCell ref="I46:K46"/>
    <mergeCell ref="I41:K44"/>
    <mergeCell ref="C39:L39"/>
    <mergeCell ref="C36:I36"/>
    <mergeCell ref="E46:G46"/>
    <mergeCell ref="E47:G47"/>
    <mergeCell ref="E41:G44"/>
    <mergeCell ref="F9:I9"/>
    <mergeCell ref="H11:I11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11:D11"/>
    <mergeCell ref="E11:F11"/>
  </mergeCells>
  <phoneticPr fontId="4" type="noConversion"/>
  <conditionalFormatting sqref="F9">
    <cfRule type="cellIs" dxfId="17" priority="15" operator="equal">
      <formula>"-"</formula>
    </cfRule>
    <cfRule type="cellIs" dxfId="16" priority="16" operator="equal">
      <formula>"- "</formula>
    </cfRule>
  </conditionalFormatting>
  <conditionalFormatting sqref="L12:L33">
    <cfRule type="expression" dxfId="15" priority="12">
      <formula>AND(K12&lt;6,L12="")</formula>
    </cfRule>
  </conditionalFormatting>
  <conditionalFormatting sqref="J35:L36">
    <cfRule type="expression" dxfId="14" priority="11">
      <formula>$J$35&lt;&gt;138</formula>
    </cfRule>
  </conditionalFormatting>
  <conditionalFormatting sqref="K40:K50 K2:K38">
    <cfRule type="cellIs" dxfId="13" priority="8" operator="lessThan">
      <formula>6</formula>
    </cfRule>
  </conditionalFormatting>
  <conditionalFormatting sqref="D37:D38 D40:D1048576 D1:D34">
    <cfRule type="duplicateValues" dxfId="12" priority="34"/>
  </conditionalFormatting>
  <conditionalFormatting sqref="L9">
    <cfRule type="expression" dxfId="11" priority="3">
      <formula>LEN($L$9)=4</formula>
    </cfRule>
  </conditionalFormatting>
  <conditionalFormatting sqref="G1:G1048576">
    <cfRule type="cellIs" dxfId="10" priority="2" operator="equal">
      <formula>0</formula>
    </cfRule>
  </conditionalFormatting>
  <conditionalFormatting sqref="H31:H33">
    <cfRule type="cellIs" dxfId="9" priority="1" operator="equal">
      <formula>0</formula>
    </cfRule>
  </conditionalFormatting>
  <dataValidations disablePrompts="1" count="6">
    <dataValidation allowBlank="1" showInputMessage="1" showErrorMessage="1" error="NO SE PUEDE MODIFICAR ESTA CELDA" sqref="C38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124" scale="7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L8 J35:L36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351"/>
  <sheetViews>
    <sheetView workbookViewId="0">
      <selection activeCell="A75" sqref="A75"/>
    </sheetView>
  </sheetViews>
  <sheetFormatPr baseColWidth="10" defaultColWidth="11.42578125" defaultRowHeight="15" x14ac:dyDescent="0.25"/>
  <sheetData>
    <row r="3" spans="4:11" x14ac:dyDescent="0.25">
      <c r="D3" s="1"/>
      <c r="H3" s="1"/>
    </row>
    <row r="12" spans="4:11" x14ac:dyDescent="0.25">
      <c r="E12" s="1"/>
      <c r="F12" s="1"/>
      <c r="G12" s="1"/>
      <c r="I12" s="1"/>
      <c r="K12" s="1"/>
    </row>
    <row r="13" spans="4:11" x14ac:dyDescent="0.25">
      <c r="E13" s="1"/>
      <c r="F13" s="1"/>
      <c r="G13" s="1"/>
      <c r="I13" s="1"/>
      <c r="J13" s="1"/>
      <c r="K13" s="1"/>
    </row>
    <row r="14" spans="4:11" x14ac:dyDescent="0.25">
      <c r="E14" s="1"/>
      <c r="F14" s="1"/>
      <c r="G14" s="1"/>
      <c r="I14" s="1"/>
      <c r="K14" s="1"/>
    </row>
    <row r="15" spans="4:11" x14ac:dyDescent="0.25">
      <c r="E15" s="1"/>
      <c r="F15" s="1"/>
      <c r="G15" s="1"/>
      <c r="I15" s="1"/>
      <c r="J15" s="1"/>
      <c r="K15" s="1"/>
    </row>
    <row r="16" spans="4:11" x14ac:dyDescent="0.25">
      <c r="E16" s="1"/>
      <c r="F16" s="1"/>
      <c r="G16" s="1"/>
      <c r="I16" s="1"/>
      <c r="K16" s="1"/>
    </row>
    <row r="17" spans="5:21" x14ac:dyDescent="0.25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25">
      <c r="E18" s="1"/>
      <c r="F18" s="1"/>
      <c r="G18" s="1"/>
      <c r="H18" s="1"/>
      <c r="I18" s="1"/>
      <c r="J18" s="1"/>
      <c r="K18" s="1"/>
      <c r="M18" s="1"/>
    </row>
    <row r="19" spans="5:21" x14ac:dyDescent="0.25">
      <c r="E19" s="1"/>
      <c r="F19" s="1"/>
      <c r="G19" s="1"/>
      <c r="H19" s="1"/>
      <c r="I19" s="1"/>
      <c r="J19" s="1"/>
      <c r="K19" s="1"/>
      <c r="M19" s="1"/>
      <c r="N19" s="1"/>
      <c r="R19" s="1"/>
    </row>
    <row r="20" spans="5:21" x14ac:dyDescent="0.25">
      <c r="E20" s="1"/>
      <c r="F20" s="1"/>
      <c r="G20" s="1"/>
      <c r="H20" s="1"/>
      <c r="I20" s="1"/>
      <c r="K20" s="1"/>
      <c r="M20" s="1"/>
      <c r="R20" s="1"/>
    </row>
    <row r="21" spans="5:21" x14ac:dyDescent="0.25">
      <c r="E21" s="1"/>
      <c r="F21" s="1"/>
      <c r="G21" s="1"/>
      <c r="H21" s="1"/>
      <c r="I21" s="1"/>
      <c r="K21" s="1"/>
      <c r="M21" s="1"/>
      <c r="N21" s="1"/>
      <c r="R21" s="1"/>
    </row>
    <row r="22" spans="5:21" x14ac:dyDescent="0.25">
      <c r="E22" s="1"/>
      <c r="F22" s="1"/>
      <c r="G22" s="1"/>
      <c r="H22" s="1"/>
      <c r="I22" s="1"/>
      <c r="K22" s="1"/>
      <c r="M22" s="1"/>
      <c r="N22" s="1"/>
      <c r="R22" s="1"/>
    </row>
    <row r="23" spans="5:21" x14ac:dyDescent="0.25">
      <c r="E23" s="1"/>
      <c r="F23" s="1"/>
      <c r="G23" s="1"/>
      <c r="H23" s="1"/>
      <c r="I23" s="1"/>
      <c r="K23" s="1"/>
      <c r="M23" s="1"/>
      <c r="N23" s="1"/>
      <c r="R23" s="1"/>
      <c r="U23" s="1"/>
    </row>
    <row r="24" spans="5:21" x14ac:dyDescent="0.25">
      <c r="E24" s="1"/>
      <c r="F24" s="1"/>
      <c r="G24" s="1"/>
      <c r="I24" s="1"/>
      <c r="K24" s="1"/>
      <c r="N24" s="1"/>
      <c r="R24" s="1"/>
    </row>
    <row r="25" spans="5:21" x14ac:dyDescent="0.25">
      <c r="E25" s="1"/>
      <c r="F25" s="1"/>
      <c r="G25" s="1"/>
      <c r="I25" s="1"/>
      <c r="K25" s="1"/>
    </row>
    <row r="26" spans="5:21" x14ac:dyDescent="0.25">
      <c r="E26" s="1"/>
      <c r="F26" s="1"/>
      <c r="G26" s="1"/>
      <c r="I26" s="1"/>
      <c r="K26" s="1"/>
      <c r="N26" s="1"/>
      <c r="R26" s="1"/>
    </row>
    <row r="27" spans="5:21" x14ac:dyDescent="0.25">
      <c r="E27" s="1"/>
      <c r="F27" s="1"/>
      <c r="G27" s="1"/>
      <c r="I27" s="1"/>
      <c r="K27" s="1"/>
    </row>
    <row r="28" spans="5:21" x14ac:dyDescent="0.25">
      <c r="E28" s="1"/>
      <c r="F28" s="1"/>
      <c r="G28" s="1"/>
      <c r="H28" s="1"/>
      <c r="I28" s="1"/>
      <c r="K28" s="1"/>
      <c r="L28" s="1"/>
      <c r="N28" s="1"/>
      <c r="P28" s="1"/>
      <c r="T28" s="1"/>
    </row>
    <row r="29" spans="5:21" x14ac:dyDescent="0.25">
      <c r="E29" s="1"/>
      <c r="F29" s="1"/>
      <c r="G29" s="1"/>
      <c r="H29" s="1"/>
      <c r="I29" s="1"/>
      <c r="K29" s="1"/>
      <c r="L29" s="1"/>
      <c r="N29" s="1"/>
    </row>
    <row r="30" spans="5:21" x14ac:dyDescent="0.25">
      <c r="E30" s="1"/>
      <c r="F30" s="1"/>
      <c r="G30" s="1"/>
      <c r="H30" s="1"/>
      <c r="I30" s="1"/>
      <c r="K30" s="1"/>
      <c r="L30" s="1"/>
      <c r="N30" s="1"/>
    </row>
    <row r="31" spans="5:21" x14ac:dyDescent="0.25">
      <c r="E31" s="1"/>
      <c r="F31" s="1"/>
      <c r="G31" s="1"/>
      <c r="H31" s="1"/>
      <c r="I31" s="1"/>
      <c r="K31" s="1"/>
      <c r="L31" s="1"/>
      <c r="N31" s="1"/>
      <c r="R31" s="1"/>
    </row>
    <row r="32" spans="5:21" x14ac:dyDescent="0.25">
      <c r="E32" s="1"/>
      <c r="F32" s="1"/>
      <c r="G32" s="1"/>
      <c r="H32" s="1"/>
      <c r="I32" s="1"/>
      <c r="K32" s="1"/>
      <c r="L32" s="1"/>
      <c r="N32" s="1"/>
    </row>
    <row r="33" spans="5:21" x14ac:dyDescent="0.25">
      <c r="E33" s="1"/>
      <c r="F33" s="1"/>
      <c r="G33" s="1"/>
      <c r="H33" s="1"/>
      <c r="I33" s="1"/>
      <c r="K33" s="1"/>
      <c r="L33" s="1"/>
      <c r="M33" s="1"/>
      <c r="N33" s="1"/>
      <c r="R33" s="1"/>
    </row>
    <row r="34" spans="5:21" x14ac:dyDescent="0.25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25">
      <c r="E35" s="1"/>
      <c r="F35" s="1"/>
      <c r="G35" s="1"/>
      <c r="H35" s="1"/>
      <c r="I35" s="1"/>
      <c r="J35" s="1"/>
      <c r="K35" s="1"/>
      <c r="L35" s="1"/>
      <c r="M35" s="1"/>
      <c r="N35" s="1"/>
      <c r="R35" s="1"/>
    </row>
    <row r="36" spans="5:21" x14ac:dyDescent="0.25">
      <c r="E36" s="1"/>
      <c r="F36" s="1"/>
      <c r="G36" s="1"/>
      <c r="H36" s="1"/>
      <c r="I36" s="1"/>
      <c r="K36" s="1"/>
      <c r="M36" s="1"/>
      <c r="N36" s="1"/>
      <c r="R36" s="1"/>
    </row>
    <row r="37" spans="5:21" x14ac:dyDescent="0.25">
      <c r="E37" s="1"/>
      <c r="F37" s="1"/>
      <c r="G37" s="1"/>
      <c r="I37" s="1"/>
      <c r="K37" s="1"/>
      <c r="M37" s="1"/>
    </row>
    <row r="38" spans="5:21" x14ac:dyDescent="0.25">
      <c r="E38" s="1"/>
      <c r="F38" s="1"/>
      <c r="G38" s="1"/>
      <c r="I38" s="1"/>
      <c r="K38" s="1"/>
      <c r="M38" s="1"/>
      <c r="N38" s="1"/>
      <c r="R38" s="1"/>
    </row>
    <row r="39" spans="5:21" x14ac:dyDescent="0.25">
      <c r="E39" s="1"/>
      <c r="F39" s="1"/>
      <c r="G39" s="1"/>
      <c r="I39" s="1"/>
      <c r="K39" s="1"/>
      <c r="M39" s="1"/>
      <c r="N39" s="1"/>
      <c r="R39" s="1"/>
    </row>
    <row r="40" spans="5:21" x14ac:dyDescent="0.25">
      <c r="E40" s="1"/>
      <c r="F40" s="1"/>
      <c r="G40" s="1"/>
      <c r="I40" s="1"/>
      <c r="K40" s="1"/>
      <c r="M40" s="1"/>
      <c r="Q40" s="1"/>
      <c r="U40" s="1"/>
    </row>
    <row r="41" spans="5:21" x14ac:dyDescent="0.25">
      <c r="E41" s="1"/>
      <c r="F41" s="1"/>
      <c r="G41" s="1"/>
      <c r="I41" s="1"/>
      <c r="K41" s="1"/>
      <c r="M41" s="1"/>
      <c r="N41" s="1"/>
      <c r="R41" s="1"/>
    </row>
    <row r="42" spans="5:21" x14ac:dyDescent="0.25">
      <c r="E42" s="1"/>
      <c r="F42" s="1"/>
      <c r="G42" s="1"/>
      <c r="I42" s="1"/>
      <c r="K42" s="1"/>
      <c r="M42" s="1"/>
      <c r="N42" s="1"/>
      <c r="R42" s="1"/>
    </row>
    <row r="43" spans="5:21" x14ac:dyDescent="0.25">
      <c r="E43" s="1"/>
      <c r="F43" s="1"/>
      <c r="G43" s="1"/>
      <c r="I43" s="1"/>
      <c r="K43" s="1"/>
      <c r="N43" s="1"/>
      <c r="R43" s="1"/>
    </row>
    <row r="44" spans="5:21" x14ac:dyDescent="0.25">
      <c r="E44" s="1"/>
      <c r="F44" s="1"/>
      <c r="G44" s="1"/>
      <c r="I44" s="1"/>
      <c r="K44" s="1"/>
    </row>
    <row r="45" spans="5:21" x14ac:dyDescent="0.25">
      <c r="E45" s="1"/>
      <c r="F45" s="1"/>
      <c r="G45" s="1"/>
      <c r="I45" s="1"/>
      <c r="K45" s="1"/>
    </row>
    <row r="46" spans="5:21" x14ac:dyDescent="0.25">
      <c r="E46" s="1"/>
      <c r="F46" s="1"/>
      <c r="G46" s="1"/>
      <c r="I46" s="1"/>
      <c r="K46" s="1"/>
    </row>
    <row r="47" spans="5:21" x14ac:dyDescent="0.25">
      <c r="E47" s="1"/>
      <c r="F47" s="1"/>
      <c r="G47" s="1"/>
      <c r="I47" s="1"/>
      <c r="K47" s="1"/>
      <c r="N47" s="1"/>
      <c r="P47" s="1"/>
      <c r="R47" s="1"/>
      <c r="T47" s="1"/>
    </row>
    <row r="48" spans="5:21" x14ac:dyDescent="0.25">
      <c r="E48" s="1"/>
      <c r="F48" s="1"/>
      <c r="G48" s="1"/>
      <c r="I48" s="1"/>
      <c r="J48" s="1"/>
      <c r="K48" s="1"/>
      <c r="N48" s="1"/>
      <c r="R48" s="1"/>
    </row>
    <row r="49" spans="5:20" x14ac:dyDescent="0.25">
      <c r="E49" s="1"/>
      <c r="F49" s="1"/>
      <c r="G49" s="1"/>
      <c r="I49" s="1"/>
      <c r="J49" s="1"/>
      <c r="K49" s="1"/>
    </row>
    <row r="50" spans="5:20" x14ac:dyDescent="0.25">
      <c r="E50" s="1"/>
      <c r="F50" s="1"/>
      <c r="G50" s="1"/>
      <c r="I50" s="1"/>
      <c r="K50" s="1"/>
      <c r="N50" s="1"/>
      <c r="R50" s="1"/>
    </row>
    <row r="51" spans="5:20" x14ac:dyDescent="0.25">
      <c r="E51" s="1"/>
      <c r="F51" s="1"/>
      <c r="G51" s="1"/>
      <c r="I51" s="1"/>
      <c r="J51" s="1"/>
      <c r="K51" s="1"/>
      <c r="N51" s="1"/>
      <c r="R51" s="1"/>
    </row>
    <row r="52" spans="5:20" x14ac:dyDescent="0.25">
      <c r="E52" s="1"/>
      <c r="F52" s="1"/>
      <c r="G52" s="1"/>
      <c r="H52" s="1"/>
      <c r="I52" s="1"/>
      <c r="K52" s="1"/>
      <c r="M52" s="1"/>
    </row>
    <row r="53" spans="5:20" x14ac:dyDescent="0.25">
      <c r="E53" s="1"/>
      <c r="F53" s="1"/>
      <c r="G53" s="1"/>
      <c r="H53" s="1"/>
      <c r="I53" s="1"/>
      <c r="K53" s="1"/>
      <c r="M53" s="1"/>
      <c r="N53" s="1"/>
      <c r="R53" s="1"/>
    </row>
    <row r="54" spans="5:20" x14ac:dyDescent="0.25">
      <c r="E54" s="1"/>
      <c r="F54" s="1"/>
      <c r="G54" s="1"/>
      <c r="H54" s="1"/>
      <c r="I54" s="1"/>
      <c r="K54" s="1"/>
      <c r="L54" s="1"/>
      <c r="M54" s="1"/>
      <c r="N54" s="1"/>
      <c r="R54" s="1"/>
    </row>
    <row r="55" spans="5:20" x14ac:dyDescent="0.25">
      <c r="E55" s="1"/>
      <c r="F55" s="1"/>
      <c r="G55" s="1"/>
      <c r="H55" s="1"/>
      <c r="I55" s="1"/>
      <c r="K55" s="1"/>
      <c r="M55" s="1"/>
    </row>
    <row r="56" spans="5:20" x14ac:dyDescent="0.25">
      <c r="E56" s="1"/>
      <c r="F56" s="1"/>
      <c r="G56" s="1"/>
      <c r="H56" s="1"/>
      <c r="I56" s="1"/>
      <c r="K56" s="1"/>
      <c r="M56" s="1"/>
    </row>
    <row r="57" spans="5:20" x14ac:dyDescent="0.25">
      <c r="E57" s="1"/>
      <c r="F57" s="1"/>
      <c r="G57" s="1"/>
      <c r="H57" s="1"/>
      <c r="I57" s="1"/>
      <c r="K57" s="1"/>
      <c r="M57" s="1"/>
      <c r="N57" s="1"/>
      <c r="R57" s="1"/>
    </row>
    <row r="58" spans="5:20" x14ac:dyDescent="0.25">
      <c r="E58" s="1"/>
      <c r="F58" s="1"/>
      <c r="G58" s="1"/>
      <c r="H58" s="1"/>
      <c r="I58" s="1"/>
      <c r="K58" s="1"/>
      <c r="M58" s="1"/>
      <c r="N58" s="1"/>
      <c r="R58" s="1"/>
    </row>
    <row r="59" spans="5:20" x14ac:dyDescent="0.25">
      <c r="E59" s="1"/>
      <c r="F59" s="1"/>
      <c r="G59" s="1"/>
      <c r="H59" s="1"/>
      <c r="I59" s="1"/>
      <c r="K59" s="1"/>
      <c r="M59" s="1"/>
      <c r="N59" s="1"/>
      <c r="R59" s="1"/>
    </row>
    <row r="60" spans="5:20" x14ac:dyDescent="0.25">
      <c r="E60" s="1"/>
      <c r="F60" s="1"/>
      <c r="G60" s="1"/>
      <c r="I60" s="1"/>
      <c r="K60" s="1"/>
      <c r="N60" s="1"/>
      <c r="R60" s="1"/>
    </row>
    <row r="61" spans="5:20" x14ac:dyDescent="0.25">
      <c r="E61" s="1"/>
      <c r="F61" s="1"/>
      <c r="G61" s="1"/>
      <c r="I61" s="1"/>
      <c r="K61" s="1"/>
      <c r="N61" s="1"/>
      <c r="R61" s="1"/>
    </row>
    <row r="62" spans="5:20" x14ac:dyDescent="0.25">
      <c r="E62" s="1"/>
      <c r="F62" s="1"/>
      <c r="G62" s="1"/>
      <c r="I62" s="1"/>
      <c r="K62" s="1"/>
    </row>
    <row r="63" spans="5:20" x14ac:dyDescent="0.25">
      <c r="E63" s="1"/>
      <c r="F63" s="1"/>
      <c r="G63" s="1"/>
      <c r="I63" s="1"/>
      <c r="K63" s="1"/>
    </row>
    <row r="64" spans="5:20" x14ac:dyDescent="0.25">
      <c r="E64" s="1"/>
      <c r="F64" s="1"/>
      <c r="G64" s="1"/>
      <c r="I64" s="1"/>
      <c r="J64" s="1"/>
      <c r="K64" s="1"/>
      <c r="N64" s="1"/>
      <c r="P64" s="1"/>
      <c r="R64" s="1"/>
      <c r="T64" s="1"/>
    </row>
    <row r="65" spans="5:20" x14ac:dyDescent="0.25">
      <c r="E65" s="1"/>
      <c r="F65" s="1"/>
      <c r="G65" s="1"/>
      <c r="I65" s="1"/>
      <c r="J65" s="1"/>
      <c r="K65" s="1"/>
    </row>
    <row r="66" spans="5:20" x14ac:dyDescent="0.25">
      <c r="E66" s="1"/>
      <c r="F66" s="1"/>
      <c r="G66" s="1"/>
      <c r="I66" s="1"/>
      <c r="K66" s="1"/>
    </row>
    <row r="67" spans="5:20" x14ac:dyDescent="0.25">
      <c r="E67" s="1"/>
      <c r="F67" s="1"/>
      <c r="G67" s="1"/>
      <c r="I67" s="1"/>
      <c r="K67" s="1"/>
    </row>
    <row r="68" spans="5:20" x14ac:dyDescent="0.25">
      <c r="E68" s="1"/>
      <c r="F68" s="1"/>
      <c r="G68" s="1"/>
      <c r="I68" s="1"/>
      <c r="K68" s="1"/>
      <c r="N68" s="1"/>
      <c r="R68" s="1"/>
    </row>
    <row r="69" spans="5:20" x14ac:dyDescent="0.25">
      <c r="E69" s="1"/>
      <c r="F69" s="1"/>
      <c r="G69" s="1"/>
      <c r="H69" s="1"/>
      <c r="I69" s="1"/>
      <c r="K69" s="1"/>
      <c r="M69" s="1"/>
    </row>
    <row r="70" spans="5:20" x14ac:dyDescent="0.25">
      <c r="E70" s="1"/>
      <c r="F70" s="1"/>
      <c r="G70" s="1"/>
      <c r="H70" s="1"/>
      <c r="I70" s="1"/>
      <c r="K70" s="1"/>
      <c r="M70" s="1"/>
    </row>
    <row r="71" spans="5:20" x14ac:dyDescent="0.25">
      <c r="E71" s="1"/>
      <c r="F71" s="1"/>
      <c r="G71" s="1"/>
      <c r="H71" s="1"/>
      <c r="I71" s="1"/>
      <c r="K71" s="1"/>
      <c r="M71" s="1"/>
      <c r="N71" s="1"/>
      <c r="R71" s="1"/>
    </row>
    <row r="72" spans="5:20" x14ac:dyDescent="0.25">
      <c r="E72" s="1"/>
      <c r="F72" s="1"/>
      <c r="G72" s="1"/>
      <c r="H72" s="1"/>
      <c r="I72" s="1"/>
      <c r="K72" s="1"/>
      <c r="M72" s="1"/>
    </row>
    <row r="73" spans="5:20" x14ac:dyDescent="0.25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25">
      <c r="E74" s="1"/>
      <c r="F74" s="1"/>
      <c r="G74" s="1"/>
      <c r="H74" s="1"/>
      <c r="I74" s="1"/>
      <c r="K74" s="1"/>
      <c r="M74" s="1"/>
      <c r="N74" s="1"/>
      <c r="R74" s="1"/>
    </row>
    <row r="75" spans="5:20" x14ac:dyDescent="0.25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25">
      <c r="E76" s="1"/>
      <c r="F76" s="1"/>
      <c r="G76" s="1"/>
      <c r="I76" s="1"/>
      <c r="K76" s="1"/>
      <c r="N76" s="1"/>
      <c r="R76" s="1"/>
    </row>
    <row r="77" spans="5:20" x14ac:dyDescent="0.25">
      <c r="E77" s="1"/>
      <c r="F77" s="1"/>
      <c r="G77" s="1"/>
      <c r="I77" s="1"/>
      <c r="K77" s="1"/>
      <c r="N77" s="1"/>
      <c r="R77" s="1"/>
    </row>
    <row r="78" spans="5:20" x14ac:dyDescent="0.25">
      <c r="E78" s="1"/>
      <c r="F78" s="1"/>
      <c r="G78" s="1"/>
      <c r="I78" s="1"/>
      <c r="K78" s="1"/>
    </row>
    <row r="79" spans="5:20" x14ac:dyDescent="0.25">
      <c r="E79" s="1"/>
      <c r="F79" s="1"/>
      <c r="G79" s="1"/>
      <c r="I79" s="1"/>
      <c r="K79" s="1"/>
    </row>
    <row r="80" spans="5:20" x14ac:dyDescent="0.25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25">
      <c r="E81" s="1"/>
      <c r="F81" s="1"/>
      <c r="G81" s="1"/>
      <c r="I81" s="1"/>
      <c r="K81" s="1"/>
    </row>
    <row r="82" spans="5:18" x14ac:dyDescent="0.25">
      <c r="E82" s="1"/>
      <c r="F82" s="1"/>
      <c r="G82" s="1"/>
      <c r="I82" s="1"/>
      <c r="J82" s="1"/>
      <c r="K82" s="1"/>
      <c r="N82" s="1"/>
      <c r="R82" s="1"/>
    </row>
    <row r="83" spans="5:18" x14ac:dyDescent="0.25">
      <c r="E83" s="1"/>
      <c r="F83" s="1"/>
      <c r="G83" s="1"/>
      <c r="I83" s="1"/>
      <c r="J83" s="1"/>
      <c r="K83" s="1"/>
    </row>
    <row r="84" spans="5:18" x14ac:dyDescent="0.25">
      <c r="E84" s="1"/>
      <c r="F84" s="1"/>
      <c r="G84" s="1"/>
      <c r="I84" s="1"/>
      <c r="K84" s="1"/>
    </row>
    <row r="85" spans="5:18" x14ac:dyDescent="0.25">
      <c r="E85" s="1"/>
      <c r="F85" s="1"/>
      <c r="G85" s="1"/>
      <c r="H85" s="1"/>
      <c r="I85" s="1"/>
      <c r="J85" s="1"/>
      <c r="K85" s="1"/>
      <c r="L85" s="1"/>
      <c r="M85" s="1"/>
    </row>
    <row r="86" spans="5:18" x14ac:dyDescent="0.25">
      <c r="E86" s="1"/>
      <c r="F86" s="1"/>
      <c r="G86" s="1"/>
      <c r="H86" s="1"/>
      <c r="I86" s="1"/>
      <c r="J86" s="1"/>
      <c r="K86" s="1"/>
      <c r="M86" s="1"/>
      <c r="N86" s="1"/>
      <c r="R86" s="1"/>
    </row>
    <row r="87" spans="5:18" x14ac:dyDescent="0.25">
      <c r="E87" s="1"/>
      <c r="F87" s="1"/>
      <c r="G87" s="1"/>
      <c r="H87" s="1"/>
      <c r="I87" s="1"/>
      <c r="K87" s="1"/>
      <c r="M87" s="1"/>
    </row>
    <row r="88" spans="5:18" x14ac:dyDescent="0.25">
      <c r="E88" s="1"/>
      <c r="F88" s="1"/>
      <c r="G88" s="1"/>
      <c r="H88" s="1"/>
      <c r="I88" s="1"/>
      <c r="K88" s="1"/>
      <c r="M88" s="1"/>
    </row>
    <row r="89" spans="5:18" x14ac:dyDescent="0.25">
      <c r="E89" s="1"/>
      <c r="F89" s="1"/>
      <c r="G89" s="1"/>
      <c r="I89" s="1"/>
      <c r="K89" s="1"/>
      <c r="M89" s="1"/>
      <c r="N89" s="1"/>
      <c r="R89" s="1"/>
    </row>
    <row r="90" spans="5:18" x14ac:dyDescent="0.25">
      <c r="E90" s="1"/>
      <c r="F90" s="1"/>
      <c r="G90" s="1"/>
      <c r="H90" s="1"/>
      <c r="I90" s="1"/>
      <c r="K90" s="1"/>
      <c r="M90" s="1"/>
      <c r="N90" s="1"/>
      <c r="R90" s="1"/>
    </row>
    <row r="91" spans="5:18" x14ac:dyDescent="0.25">
      <c r="E91" s="1"/>
      <c r="F91" s="1"/>
      <c r="G91" s="1"/>
      <c r="H91" s="1"/>
      <c r="I91" s="1"/>
      <c r="K91" s="1"/>
      <c r="M91" s="1"/>
      <c r="R91" s="1"/>
    </row>
    <row r="92" spans="5:18" x14ac:dyDescent="0.25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25">
      <c r="E93" s="1"/>
      <c r="F93" s="1"/>
      <c r="G93" s="1"/>
      <c r="I93" s="1"/>
      <c r="K93" s="1"/>
      <c r="N93" s="1"/>
      <c r="R93" s="1"/>
    </row>
    <row r="94" spans="5:18" x14ac:dyDescent="0.25">
      <c r="E94" s="1"/>
      <c r="F94" s="1"/>
      <c r="G94" s="1"/>
      <c r="I94" s="1"/>
      <c r="K94" s="1"/>
      <c r="N94" s="1"/>
      <c r="R94" s="1"/>
    </row>
    <row r="95" spans="5:18" x14ac:dyDescent="0.25">
      <c r="E95" s="1"/>
      <c r="F95" s="1"/>
      <c r="G95" s="1"/>
      <c r="I95" s="1"/>
      <c r="K95" s="1"/>
      <c r="N95" s="1"/>
      <c r="R95" s="1"/>
    </row>
    <row r="96" spans="5:18" x14ac:dyDescent="0.25">
      <c r="E96" s="1"/>
      <c r="F96" s="1"/>
      <c r="G96" s="1"/>
      <c r="I96" s="1"/>
      <c r="K96" s="1"/>
      <c r="N96" s="1"/>
      <c r="R96" s="1"/>
    </row>
    <row r="97" spans="5:20" x14ac:dyDescent="0.25">
      <c r="E97" s="1"/>
      <c r="F97" s="1"/>
      <c r="G97" s="1"/>
      <c r="I97" s="1"/>
      <c r="K97" s="1"/>
      <c r="P97" s="1"/>
      <c r="T97" s="1"/>
    </row>
    <row r="98" spans="5:20" x14ac:dyDescent="0.25">
      <c r="E98" s="1"/>
      <c r="F98" s="1"/>
      <c r="G98" s="1"/>
      <c r="I98" s="1"/>
      <c r="K98" s="1"/>
      <c r="N98" s="1"/>
      <c r="R98" s="1"/>
    </row>
    <row r="99" spans="5:20" x14ac:dyDescent="0.25">
      <c r="E99" s="1"/>
      <c r="F99" s="1"/>
      <c r="G99" s="1"/>
      <c r="I99" s="1"/>
      <c r="J99" s="1"/>
      <c r="K99" s="1"/>
      <c r="N99" s="1"/>
      <c r="R99" s="1"/>
    </row>
    <row r="100" spans="5:20" x14ac:dyDescent="0.25">
      <c r="E100" s="1"/>
      <c r="F100" s="1"/>
      <c r="G100" s="1"/>
      <c r="I100" s="1"/>
      <c r="J100" s="1"/>
      <c r="K100" s="1"/>
    </row>
    <row r="101" spans="5:20" x14ac:dyDescent="0.25">
      <c r="E101" s="1"/>
      <c r="F101" s="1"/>
      <c r="G101" s="1"/>
      <c r="I101" s="1"/>
      <c r="K101" s="1"/>
    </row>
    <row r="102" spans="5:20" x14ac:dyDescent="0.25">
      <c r="E102" s="1"/>
      <c r="F102" s="1"/>
      <c r="G102" s="1"/>
      <c r="H102" s="1"/>
      <c r="I102" s="1"/>
      <c r="K102" s="1"/>
      <c r="M102" s="1"/>
      <c r="N102" s="1"/>
      <c r="R102" s="1"/>
    </row>
    <row r="103" spans="5:20" x14ac:dyDescent="0.25">
      <c r="E103" s="1"/>
      <c r="F103" s="1"/>
      <c r="G103" s="1"/>
      <c r="H103" s="1"/>
      <c r="I103" s="1"/>
      <c r="J103" s="1"/>
      <c r="K103" s="1"/>
      <c r="M103" s="1"/>
    </row>
    <row r="104" spans="5:20" x14ac:dyDescent="0.25">
      <c r="E104" s="1"/>
      <c r="F104" s="1"/>
      <c r="G104" s="1"/>
      <c r="H104" s="1"/>
      <c r="I104" s="1"/>
      <c r="J104" s="1"/>
      <c r="K104" s="1"/>
      <c r="M104" s="1"/>
    </row>
    <row r="105" spans="5:20" x14ac:dyDescent="0.25">
      <c r="E105" s="1"/>
      <c r="F105" s="1"/>
      <c r="G105" s="1"/>
      <c r="H105" s="1"/>
      <c r="I105" s="1"/>
      <c r="K105" s="1"/>
      <c r="M105" s="1"/>
    </row>
    <row r="106" spans="5:20" x14ac:dyDescent="0.25">
      <c r="E106" s="1"/>
      <c r="F106" s="1"/>
      <c r="G106" s="1"/>
      <c r="I106" s="1"/>
      <c r="K106" s="1"/>
      <c r="M106" s="1"/>
      <c r="N106" s="1"/>
      <c r="R106" s="1"/>
    </row>
    <row r="107" spans="5:20" x14ac:dyDescent="0.25">
      <c r="E107" s="1"/>
      <c r="F107" s="1"/>
      <c r="G107" s="1"/>
      <c r="H107" s="1"/>
      <c r="I107" s="1"/>
      <c r="K107" s="1"/>
      <c r="M107" s="1"/>
    </row>
    <row r="108" spans="5:20" x14ac:dyDescent="0.25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25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25">
      <c r="E110" s="1"/>
      <c r="F110" s="1"/>
      <c r="G110" s="1"/>
      <c r="H110" s="1"/>
      <c r="I110" s="1"/>
      <c r="K110" s="1"/>
      <c r="M110" s="1"/>
      <c r="N110" s="1"/>
      <c r="R110" s="1"/>
    </row>
    <row r="111" spans="5:20" x14ac:dyDescent="0.25">
      <c r="E111" s="1"/>
      <c r="F111" s="1"/>
      <c r="G111" s="1"/>
      <c r="I111" s="1"/>
      <c r="K111" s="1"/>
      <c r="N111" s="1"/>
      <c r="R111" s="1"/>
    </row>
    <row r="112" spans="5:20" x14ac:dyDescent="0.25">
      <c r="E112" s="1"/>
      <c r="F112" s="1"/>
      <c r="G112" s="1"/>
      <c r="I112" s="1"/>
      <c r="K112" s="1"/>
      <c r="N112" s="1"/>
      <c r="R112" s="1"/>
    </row>
    <row r="113" spans="5:20" x14ac:dyDescent="0.25">
      <c r="E113" s="1"/>
      <c r="F113" s="1"/>
      <c r="G113" s="1"/>
      <c r="I113" s="1"/>
      <c r="K113" s="1"/>
      <c r="N113" s="1"/>
      <c r="R113" s="1"/>
    </row>
    <row r="114" spans="5:20" x14ac:dyDescent="0.25">
      <c r="E114" s="1"/>
      <c r="F114" s="1"/>
      <c r="G114" s="1"/>
      <c r="I114" s="1"/>
      <c r="J114" s="1"/>
      <c r="K114" s="1"/>
      <c r="N114" s="1"/>
      <c r="R114" s="1"/>
    </row>
    <row r="115" spans="5:20" x14ac:dyDescent="0.25">
      <c r="E115" s="1"/>
      <c r="F115" s="1"/>
      <c r="G115" s="1"/>
      <c r="I115" s="1"/>
      <c r="K115" s="1"/>
      <c r="P115" s="1"/>
      <c r="T115" s="1"/>
    </row>
    <row r="116" spans="5:20" x14ac:dyDescent="0.25">
      <c r="E116" s="1"/>
      <c r="F116" s="1"/>
      <c r="G116" s="1"/>
      <c r="I116" s="1"/>
      <c r="K116" s="1"/>
    </row>
    <row r="117" spans="5:20" x14ac:dyDescent="0.25">
      <c r="E117" s="1"/>
      <c r="F117" s="1"/>
      <c r="G117" s="1"/>
      <c r="I117" s="1"/>
      <c r="K117" s="1"/>
      <c r="N117" s="1"/>
      <c r="R117" s="1"/>
    </row>
    <row r="118" spans="5:20" x14ac:dyDescent="0.25">
      <c r="E118" s="1"/>
      <c r="F118" s="1"/>
      <c r="G118" s="1"/>
      <c r="I118" s="1"/>
      <c r="J118" s="1"/>
      <c r="K118" s="1"/>
      <c r="N118" s="1"/>
      <c r="R118" s="1"/>
    </row>
    <row r="119" spans="5:20" x14ac:dyDescent="0.25">
      <c r="E119" s="1"/>
      <c r="F119" s="1"/>
      <c r="G119" s="1"/>
      <c r="I119" s="1"/>
      <c r="K119" s="1"/>
      <c r="N119" s="1"/>
      <c r="R119" s="1"/>
    </row>
    <row r="120" spans="5:20" x14ac:dyDescent="0.25">
      <c r="E120" s="1"/>
      <c r="F120" s="1"/>
      <c r="G120" s="1"/>
      <c r="H120" s="1"/>
      <c r="I120" s="1"/>
      <c r="J120" s="1"/>
      <c r="K120" s="1"/>
      <c r="M120" s="1"/>
    </row>
    <row r="121" spans="5:20" x14ac:dyDescent="0.25">
      <c r="E121" s="1"/>
      <c r="F121" s="1"/>
      <c r="G121" s="1"/>
      <c r="H121" s="1"/>
      <c r="I121" s="1"/>
      <c r="K121" s="1"/>
      <c r="M121" s="1"/>
    </row>
    <row r="122" spans="5:20" x14ac:dyDescent="0.25">
      <c r="E122" s="1"/>
      <c r="F122" s="1"/>
      <c r="G122" s="1"/>
      <c r="H122" s="1"/>
      <c r="I122" s="1"/>
      <c r="J122" s="1"/>
      <c r="K122" s="1"/>
      <c r="M122" s="1"/>
    </row>
    <row r="123" spans="5:20" x14ac:dyDescent="0.25">
      <c r="E123" s="1"/>
      <c r="F123" s="1"/>
      <c r="G123" s="1"/>
      <c r="H123" s="1"/>
      <c r="I123" s="1"/>
      <c r="K123" s="1"/>
      <c r="M123" s="1"/>
      <c r="N123" s="1"/>
      <c r="R123" s="1"/>
    </row>
    <row r="124" spans="5:20" x14ac:dyDescent="0.25">
      <c r="E124" s="1"/>
      <c r="F124" s="1"/>
      <c r="G124" s="1"/>
      <c r="I124" s="1"/>
      <c r="J124" s="1"/>
      <c r="K124" s="1"/>
      <c r="M124" s="1"/>
    </row>
    <row r="125" spans="5:20" x14ac:dyDescent="0.25">
      <c r="E125" s="1"/>
      <c r="F125" s="1"/>
      <c r="G125" s="1"/>
      <c r="H125" s="1"/>
      <c r="I125" s="1"/>
      <c r="K125" s="1"/>
      <c r="M125" s="1"/>
      <c r="N125" s="1"/>
      <c r="R125" s="1"/>
    </row>
    <row r="126" spans="5:20" x14ac:dyDescent="0.25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5:20" x14ac:dyDescent="0.25">
      <c r="E127" s="1"/>
      <c r="F127" s="1"/>
      <c r="G127" s="1"/>
      <c r="H127" s="1"/>
      <c r="I127" s="1"/>
      <c r="K127" s="1"/>
      <c r="M127" s="1"/>
      <c r="N127" s="1"/>
      <c r="R127" s="1"/>
    </row>
    <row r="128" spans="5:20" x14ac:dyDescent="0.25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25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25">
      <c r="E130" s="1"/>
      <c r="F130" s="1"/>
      <c r="G130" s="1"/>
      <c r="I130" s="1"/>
      <c r="K130" s="1"/>
    </row>
    <row r="131" spans="5:20" x14ac:dyDescent="0.25">
      <c r="E131" s="1"/>
      <c r="F131" s="1"/>
      <c r="G131" s="1"/>
      <c r="I131" s="1"/>
      <c r="K131" s="1"/>
      <c r="N131" s="1"/>
      <c r="R131" s="1"/>
    </row>
    <row r="132" spans="5:20" x14ac:dyDescent="0.25">
      <c r="E132" s="1"/>
      <c r="F132" s="1"/>
      <c r="G132" s="1"/>
      <c r="I132" s="1"/>
      <c r="K132" s="1"/>
      <c r="N132" s="1"/>
      <c r="R132" s="1"/>
    </row>
    <row r="133" spans="5:20" x14ac:dyDescent="0.25">
      <c r="E133" s="1"/>
      <c r="F133" s="1"/>
      <c r="G133" s="1"/>
      <c r="I133" s="1"/>
      <c r="K133" s="1"/>
    </row>
    <row r="134" spans="5:20" x14ac:dyDescent="0.25">
      <c r="E134" s="1"/>
      <c r="F134" s="1"/>
      <c r="G134" s="1"/>
      <c r="I134" s="1"/>
      <c r="K134" s="1"/>
      <c r="N134" s="1"/>
      <c r="P134" s="1"/>
      <c r="R134" s="1"/>
      <c r="T134" s="1"/>
    </row>
    <row r="135" spans="5:20" x14ac:dyDescent="0.25">
      <c r="E135" s="1"/>
      <c r="F135" s="1"/>
      <c r="G135" s="1"/>
      <c r="I135" s="1"/>
      <c r="K135" s="1"/>
      <c r="N135" s="1"/>
      <c r="R135" s="1"/>
    </row>
    <row r="136" spans="5:20" x14ac:dyDescent="0.25">
      <c r="E136" s="1"/>
      <c r="F136" s="1"/>
      <c r="G136" s="1"/>
      <c r="I136" s="1"/>
      <c r="K136" s="1"/>
      <c r="N136" s="1"/>
      <c r="R136" s="1"/>
    </row>
    <row r="137" spans="5:20" x14ac:dyDescent="0.25">
      <c r="E137" s="1"/>
      <c r="F137" s="1"/>
      <c r="G137" s="1"/>
      <c r="I137" s="1"/>
      <c r="K137" s="1"/>
      <c r="N137" s="1"/>
      <c r="R137" s="1"/>
    </row>
    <row r="138" spans="5:20" x14ac:dyDescent="0.25">
      <c r="E138" s="1"/>
      <c r="F138" s="1"/>
      <c r="G138" s="1"/>
      <c r="I138" s="1"/>
      <c r="K138" s="1"/>
    </row>
    <row r="139" spans="5:20" x14ac:dyDescent="0.25">
      <c r="E139" s="1"/>
      <c r="F139" s="1"/>
      <c r="G139" s="1"/>
      <c r="H139" s="1"/>
      <c r="I139" s="1"/>
      <c r="K139" s="1"/>
      <c r="M139" s="1"/>
    </row>
    <row r="140" spans="5:20" x14ac:dyDescent="0.25">
      <c r="E140" s="1"/>
      <c r="F140" s="1"/>
      <c r="G140" s="1"/>
      <c r="H140" s="1"/>
      <c r="I140" s="1"/>
      <c r="J140" s="1"/>
      <c r="K140" s="1"/>
      <c r="M140" s="1"/>
    </row>
    <row r="141" spans="5:20" x14ac:dyDescent="0.25">
      <c r="E141" s="1"/>
      <c r="F141" s="1"/>
      <c r="G141" s="1"/>
      <c r="H141" s="1"/>
      <c r="I141" s="1"/>
      <c r="J141" s="1"/>
      <c r="K141" s="1"/>
      <c r="M141" s="1"/>
      <c r="N141" s="1"/>
      <c r="R141" s="1"/>
    </row>
    <row r="142" spans="5:20" x14ac:dyDescent="0.25">
      <c r="E142" s="1"/>
      <c r="F142" s="1"/>
      <c r="G142" s="1"/>
      <c r="H142" s="1"/>
      <c r="I142" s="1"/>
      <c r="K142" s="1"/>
      <c r="M142" s="1"/>
      <c r="N142" s="1"/>
      <c r="R142" s="1"/>
    </row>
    <row r="143" spans="5:20" x14ac:dyDescent="0.25">
      <c r="E143" s="1"/>
      <c r="F143" s="1"/>
      <c r="G143" s="1"/>
      <c r="H143" s="1"/>
      <c r="I143" s="1"/>
      <c r="K143" s="1"/>
      <c r="M143" s="1"/>
    </row>
    <row r="144" spans="5:20" x14ac:dyDescent="0.25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25">
      <c r="E145" s="1"/>
      <c r="F145" s="1"/>
      <c r="G145" s="1"/>
      <c r="H145" s="1"/>
      <c r="I145" s="1"/>
      <c r="K145" s="1"/>
      <c r="M145" s="1"/>
    </row>
    <row r="146" spans="5:20" x14ac:dyDescent="0.25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25">
      <c r="E147" s="1"/>
      <c r="F147" s="1"/>
      <c r="G147" s="1"/>
      <c r="I147" s="1"/>
      <c r="K147" s="1"/>
      <c r="N147" s="1"/>
      <c r="R147" s="1"/>
    </row>
    <row r="148" spans="5:20" x14ac:dyDescent="0.25">
      <c r="E148" s="1"/>
      <c r="F148" s="1"/>
      <c r="G148" s="1"/>
      <c r="I148" s="1"/>
      <c r="K148" s="1"/>
      <c r="N148" s="1"/>
      <c r="R148" s="1"/>
    </row>
    <row r="149" spans="5:20" x14ac:dyDescent="0.25">
      <c r="E149" s="1"/>
      <c r="F149" s="1"/>
      <c r="G149" s="1"/>
      <c r="I149" s="1"/>
      <c r="K149" s="1"/>
      <c r="N149" s="1"/>
      <c r="R149" s="1"/>
    </row>
    <row r="150" spans="5:20" x14ac:dyDescent="0.25">
      <c r="E150" s="1"/>
      <c r="F150" s="1"/>
      <c r="G150" s="1"/>
      <c r="I150" s="1"/>
      <c r="K150" s="1"/>
    </row>
    <row r="151" spans="5:20" x14ac:dyDescent="0.25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25">
      <c r="E152" s="1"/>
      <c r="F152" s="1"/>
      <c r="G152" s="1"/>
      <c r="I152" s="1"/>
      <c r="K152" s="1"/>
      <c r="N152" s="1"/>
      <c r="R152" s="1"/>
    </row>
    <row r="153" spans="5:20" x14ac:dyDescent="0.25">
      <c r="E153" s="1"/>
      <c r="F153" s="1"/>
      <c r="G153" s="1"/>
      <c r="I153" s="1"/>
      <c r="K153" s="1"/>
      <c r="N153" s="1"/>
      <c r="R153" s="1"/>
    </row>
    <row r="154" spans="5:20" x14ac:dyDescent="0.25">
      <c r="E154" s="1"/>
      <c r="F154" s="1"/>
      <c r="G154" s="1"/>
      <c r="I154" s="1"/>
      <c r="K154" s="1"/>
      <c r="N154" s="1"/>
      <c r="R154" s="1"/>
    </row>
    <row r="155" spans="5:20" x14ac:dyDescent="0.25">
      <c r="E155" s="1"/>
      <c r="F155" s="1"/>
      <c r="G155" s="1"/>
      <c r="I155" s="1"/>
      <c r="K155" s="1"/>
      <c r="N155" s="1"/>
      <c r="R155" s="1"/>
    </row>
    <row r="156" spans="5:20" x14ac:dyDescent="0.25">
      <c r="E156" s="1"/>
      <c r="F156" s="1"/>
      <c r="G156" s="1"/>
      <c r="I156" s="1"/>
      <c r="K156" s="1"/>
    </row>
    <row r="157" spans="5:20" x14ac:dyDescent="0.25">
      <c r="E157" s="1"/>
      <c r="F157" s="1"/>
      <c r="G157" s="1"/>
      <c r="I157" s="1"/>
      <c r="J157" s="1"/>
      <c r="K157" s="1"/>
    </row>
    <row r="158" spans="5:20" x14ac:dyDescent="0.25">
      <c r="E158" s="1"/>
      <c r="F158" s="1"/>
      <c r="G158" s="1"/>
      <c r="I158" s="1"/>
      <c r="K158" s="1"/>
    </row>
    <row r="159" spans="5:20" x14ac:dyDescent="0.25">
      <c r="E159" s="1"/>
      <c r="F159" s="1"/>
      <c r="G159" s="1"/>
      <c r="I159" s="1"/>
      <c r="K159" s="1"/>
    </row>
    <row r="160" spans="5:20" x14ac:dyDescent="0.25">
      <c r="E160" s="1"/>
      <c r="F160" s="1"/>
      <c r="G160" s="1"/>
      <c r="I160" s="1"/>
      <c r="K160" s="1"/>
      <c r="N160" s="1"/>
      <c r="R160" s="1"/>
    </row>
    <row r="161" spans="5:18" x14ac:dyDescent="0.25">
      <c r="E161" s="1"/>
      <c r="F161" s="1"/>
      <c r="G161" s="1"/>
      <c r="I161" s="1"/>
      <c r="K161" s="1"/>
    </row>
    <row r="162" spans="5:18" x14ac:dyDescent="0.25">
      <c r="E162" s="1"/>
      <c r="F162" s="1"/>
      <c r="G162" s="1"/>
      <c r="I162" s="1"/>
      <c r="K162" s="1"/>
    </row>
    <row r="163" spans="5:18" x14ac:dyDescent="0.25">
      <c r="E163" s="1"/>
      <c r="F163" s="1"/>
      <c r="G163" s="1"/>
      <c r="I163" s="1"/>
      <c r="K163" s="1"/>
      <c r="N163" s="1"/>
      <c r="R163" s="1"/>
    </row>
    <row r="164" spans="5:18" x14ac:dyDescent="0.25">
      <c r="E164" s="1"/>
      <c r="F164" s="1"/>
      <c r="G164" s="1"/>
      <c r="I164" s="1"/>
      <c r="K164" s="1"/>
      <c r="N164" s="1"/>
      <c r="R164" s="1"/>
    </row>
    <row r="165" spans="5:18" x14ac:dyDescent="0.25">
      <c r="E165" s="1"/>
      <c r="F165" s="1"/>
      <c r="G165" s="1"/>
      <c r="I165" s="1"/>
      <c r="K165" s="1"/>
      <c r="N165" s="1"/>
      <c r="R165" s="1"/>
    </row>
    <row r="166" spans="5:18" x14ac:dyDescent="0.25">
      <c r="E166" s="1"/>
      <c r="F166" s="1"/>
      <c r="G166" s="1"/>
      <c r="I166" s="1"/>
      <c r="K166" s="1"/>
      <c r="N166" s="1"/>
      <c r="R166" s="1"/>
    </row>
    <row r="167" spans="5:18" x14ac:dyDescent="0.25">
      <c r="E167" s="1"/>
      <c r="F167" s="1"/>
      <c r="G167" s="1"/>
      <c r="I167" s="1"/>
      <c r="K167" s="1"/>
    </row>
    <row r="168" spans="5:18" x14ac:dyDescent="0.25">
      <c r="E168" s="1"/>
      <c r="F168" s="1"/>
      <c r="G168" s="1"/>
      <c r="I168" s="1"/>
      <c r="K168" s="1"/>
    </row>
    <row r="169" spans="5:18" x14ac:dyDescent="0.25">
      <c r="E169" s="1"/>
      <c r="F169" s="1"/>
      <c r="G169" s="1"/>
      <c r="I169" s="1"/>
      <c r="K169" s="1"/>
      <c r="N169" s="1"/>
      <c r="R169" s="1"/>
    </row>
    <row r="170" spans="5:18" x14ac:dyDescent="0.25">
      <c r="E170" s="1"/>
      <c r="F170" s="1"/>
      <c r="G170" s="1"/>
      <c r="I170" s="1"/>
      <c r="K170" s="1"/>
      <c r="N170" s="1"/>
      <c r="R170" s="1"/>
    </row>
    <row r="171" spans="5:18" x14ac:dyDescent="0.25">
      <c r="E171" s="1"/>
      <c r="F171" s="1"/>
      <c r="G171" s="1"/>
      <c r="I171" s="1"/>
      <c r="K171" s="1"/>
    </row>
    <row r="172" spans="5:18" x14ac:dyDescent="0.25">
      <c r="E172" s="1"/>
      <c r="F172" s="1"/>
      <c r="G172" s="1"/>
      <c r="I172" s="1"/>
      <c r="K172" s="1"/>
    </row>
    <row r="173" spans="5:18" x14ac:dyDescent="0.25">
      <c r="E173" s="1"/>
      <c r="F173" s="1"/>
      <c r="G173" s="1"/>
      <c r="I173" s="1"/>
      <c r="K173" s="1"/>
    </row>
    <row r="174" spans="5:18" x14ac:dyDescent="0.25">
      <c r="E174" s="1"/>
      <c r="F174" s="1"/>
      <c r="G174" s="1"/>
      <c r="I174" s="1"/>
      <c r="K174" s="1"/>
    </row>
    <row r="175" spans="5:18" x14ac:dyDescent="0.25">
      <c r="E175" s="1"/>
      <c r="F175" s="1"/>
      <c r="G175" s="1"/>
      <c r="I175" s="1"/>
      <c r="K175" s="1"/>
      <c r="N175" s="1"/>
      <c r="R175" s="1"/>
    </row>
    <row r="176" spans="5:18" x14ac:dyDescent="0.25">
      <c r="E176" s="1"/>
      <c r="F176" s="1"/>
      <c r="G176" s="1"/>
      <c r="I176" s="1"/>
      <c r="K176" s="1"/>
    </row>
    <row r="177" spans="5:18" x14ac:dyDescent="0.25">
      <c r="E177" s="1"/>
      <c r="F177" s="1"/>
      <c r="G177" s="1"/>
      <c r="I177" s="1"/>
      <c r="K177" s="1"/>
      <c r="N177" s="1"/>
      <c r="R177" s="1"/>
    </row>
    <row r="178" spans="5:18" x14ac:dyDescent="0.25">
      <c r="E178" s="1"/>
      <c r="F178" s="1"/>
      <c r="G178" s="1"/>
      <c r="I178" s="1"/>
      <c r="K178" s="1"/>
      <c r="N178" s="1"/>
      <c r="R178" s="1"/>
    </row>
    <row r="179" spans="5:18" x14ac:dyDescent="0.25">
      <c r="E179" s="1"/>
      <c r="F179" s="1"/>
      <c r="G179" s="1"/>
      <c r="I179" s="1"/>
      <c r="K179" s="1"/>
    </row>
    <row r="180" spans="5:18" x14ac:dyDescent="0.25">
      <c r="E180" s="1"/>
      <c r="F180" s="1"/>
      <c r="G180" s="1"/>
      <c r="I180" s="1"/>
      <c r="K180" s="1"/>
      <c r="N180" s="1"/>
      <c r="R180" s="1"/>
    </row>
    <row r="181" spans="5:18" x14ac:dyDescent="0.25">
      <c r="E181" s="1"/>
      <c r="F181" s="1"/>
      <c r="G181" s="1"/>
      <c r="I181" s="1"/>
      <c r="K181" s="1"/>
    </row>
    <row r="182" spans="5:18" x14ac:dyDescent="0.25">
      <c r="E182" s="1"/>
      <c r="F182" s="1"/>
      <c r="G182" s="1"/>
      <c r="I182" s="1"/>
      <c r="K182" s="1"/>
    </row>
    <row r="183" spans="5:18" x14ac:dyDescent="0.25">
      <c r="E183" s="1"/>
      <c r="F183" s="1"/>
      <c r="G183" s="1"/>
      <c r="I183" s="1"/>
      <c r="K183" s="1"/>
    </row>
    <row r="184" spans="5:18" x14ac:dyDescent="0.25">
      <c r="E184" s="1"/>
      <c r="F184" s="1"/>
      <c r="G184" s="1"/>
      <c r="I184" s="1"/>
      <c r="K184" s="1"/>
    </row>
    <row r="185" spans="5:18" x14ac:dyDescent="0.25">
      <c r="E185" s="1"/>
      <c r="F185" s="1"/>
      <c r="G185" s="1"/>
      <c r="I185" s="1"/>
      <c r="K185" s="1"/>
      <c r="N185" s="1"/>
      <c r="R185" s="1"/>
    </row>
    <row r="186" spans="5:18" x14ac:dyDescent="0.25">
      <c r="E186" s="1"/>
      <c r="F186" s="1"/>
      <c r="G186" s="1"/>
      <c r="I186" s="1"/>
      <c r="K186" s="1"/>
      <c r="N186" s="1"/>
      <c r="R186" s="1"/>
    </row>
    <row r="187" spans="5:18" x14ac:dyDescent="0.25">
      <c r="E187" s="1"/>
      <c r="F187" s="1"/>
      <c r="G187" s="1"/>
      <c r="I187" s="1"/>
      <c r="K187" s="1"/>
      <c r="N187" s="1"/>
      <c r="R187" s="1"/>
    </row>
    <row r="188" spans="5:18" x14ac:dyDescent="0.25">
      <c r="E188" s="1"/>
      <c r="F188" s="1"/>
      <c r="G188" s="1"/>
      <c r="I188" s="1"/>
      <c r="K188" s="1"/>
    </row>
    <row r="189" spans="5:18" x14ac:dyDescent="0.25">
      <c r="E189" s="1"/>
      <c r="F189" s="1"/>
      <c r="G189" s="1"/>
      <c r="I189" s="1"/>
      <c r="K189" s="1"/>
    </row>
    <row r="190" spans="5:18" x14ac:dyDescent="0.25">
      <c r="E190" s="1"/>
      <c r="F190" s="1"/>
      <c r="G190" s="1"/>
      <c r="I190" s="1"/>
      <c r="K190" s="1"/>
      <c r="N190" s="1"/>
      <c r="R190" s="1"/>
    </row>
    <row r="191" spans="5:18" x14ac:dyDescent="0.25">
      <c r="E191" s="1"/>
      <c r="F191" s="1"/>
      <c r="G191" s="1"/>
      <c r="I191" s="1"/>
      <c r="K191" s="1"/>
    </row>
    <row r="192" spans="5:18" x14ac:dyDescent="0.25">
      <c r="E192" s="1"/>
      <c r="F192" s="1"/>
      <c r="G192" s="1"/>
      <c r="I192" s="1"/>
      <c r="K192" s="1"/>
      <c r="N192" s="1"/>
      <c r="R192" s="1"/>
    </row>
    <row r="193" spans="5:18" x14ac:dyDescent="0.25">
      <c r="E193" s="1"/>
      <c r="F193" s="1"/>
      <c r="G193" s="1"/>
      <c r="I193" s="1"/>
      <c r="K193" s="1"/>
    </row>
    <row r="194" spans="5:18" x14ac:dyDescent="0.25">
      <c r="E194" s="1"/>
      <c r="F194" s="1"/>
      <c r="G194" s="1"/>
      <c r="I194" s="1"/>
      <c r="K194" s="1"/>
      <c r="N194" s="1"/>
      <c r="R194" s="1"/>
    </row>
    <row r="195" spans="5:18" x14ac:dyDescent="0.25">
      <c r="E195" s="1"/>
      <c r="F195" s="1"/>
      <c r="G195" s="1"/>
      <c r="I195" s="1"/>
      <c r="K195" s="1"/>
      <c r="N195" s="1"/>
      <c r="R195" s="1"/>
    </row>
    <row r="196" spans="5:18" x14ac:dyDescent="0.25">
      <c r="E196" s="1"/>
      <c r="F196" s="1"/>
      <c r="G196" s="1"/>
      <c r="I196" s="1"/>
      <c r="K196" s="1"/>
    </row>
    <row r="197" spans="5:18" x14ac:dyDescent="0.25">
      <c r="E197" s="1"/>
      <c r="F197" s="1"/>
      <c r="G197" s="1"/>
      <c r="I197" s="1"/>
      <c r="K197" s="1"/>
    </row>
    <row r="198" spans="5:18" x14ac:dyDescent="0.25">
      <c r="E198" s="1"/>
      <c r="F198" s="1"/>
      <c r="G198" s="1"/>
      <c r="I198" s="1"/>
      <c r="K198" s="1"/>
    </row>
    <row r="199" spans="5:18" x14ac:dyDescent="0.25">
      <c r="E199" s="1"/>
      <c r="F199" s="1"/>
      <c r="G199" s="1"/>
      <c r="I199" s="1"/>
      <c r="K199" s="1"/>
    </row>
    <row r="200" spans="5:18" x14ac:dyDescent="0.25">
      <c r="E200" s="1"/>
      <c r="F200" s="1"/>
      <c r="G200" s="1"/>
      <c r="I200" s="1"/>
      <c r="K200" s="1"/>
    </row>
    <row r="201" spans="5:18" x14ac:dyDescent="0.25">
      <c r="E201" s="1"/>
      <c r="F201" s="1"/>
      <c r="G201" s="1"/>
      <c r="I201" s="1"/>
      <c r="K201" s="1"/>
    </row>
    <row r="202" spans="5:18" x14ac:dyDescent="0.25">
      <c r="E202" s="1"/>
      <c r="F202" s="1"/>
      <c r="G202" s="1"/>
      <c r="I202" s="1"/>
      <c r="K202" s="1"/>
    </row>
    <row r="203" spans="5:18" x14ac:dyDescent="0.25">
      <c r="E203" s="1"/>
      <c r="F203" s="1"/>
      <c r="G203" s="1"/>
      <c r="I203" s="1"/>
      <c r="K203" s="1"/>
    </row>
    <row r="204" spans="5:18" x14ac:dyDescent="0.25">
      <c r="E204" s="1"/>
      <c r="F204" s="1"/>
      <c r="G204" s="1"/>
      <c r="I204" s="1"/>
      <c r="K204" s="1"/>
      <c r="N204" s="1"/>
      <c r="R204" s="1"/>
    </row>
    <row r="205" spans="5:18" x14ac:dyDescent="0.25">
      <c r="E205" s="1"/>
      <c r="F205" s="1"/>
      <c r="G205" s="1"/>
      <c r="I205" s="1"/>
      <c r="K205" s="1"/>
      <c r="N205" s="1"/>
      <c r="R205" s="1"/>
    </row>
    <row r="206" spans="5:18" x14ac:dyDescent="0.25">
      <c r="E206" s="1"/>
      <c r="F206" s="1"/>
      <c r="G206" s="1"/>
      <c r="I206" s="1"/>
      <c r="K206" s="1"/>
    </row>
    <row r="207" spans="5:18" x14ac:dyDescent="0.25">
      <c r="E207" s="1"/>
      <c r="F207" s="1"/>
      <c r="G207" s="1"/>
      <c r="I207" s="1"/>
      <c r="K207" s="1"/>
    </row>
    <row r="208" spans="5:18" x14ac:dyDescent="0.25">
      <c r="E208" s="1"/>
      <c r="F208" s="1"/>
      <c r="G208" s="1"/>
      <c r="I208" s="1"/>
      <c r="K208" s="1"/>
    </row>
    <row r="209" spans="5:18" x14ac:dyDescent="0.25">
      <c r="E209" s="1"/>
      <c r="F209" s="1"/>
      <c r="G209" s="1"/>
      <c r="I209" s="1"/>
      <c r="K209" s="1"/>
      <c r="N209" s="1"/>
      <c r="R209" s="1"/>
    </row>
    <row r="210" spans="5:18" x14ac:dyDescent="0.25">
      <c r="E210" s="1"/>
      <c r="F210" s="1"/>
      <c r="G210" s="1"/>
      <c r="I210" s="1"/>
      <c r="K210" s="1"/>
    </row>
    <row r="211" spans="5:18" x14ac:dyDescent="0.25">
      <c r="E211" s="1"/>
      <c r="F211" s="1"/>
      <c r="G211" s="1"/>
      <c r="I211" s="1"/>
      <c r="K211" s="1"/>
    </row>
    <row r="212" spans="5:18" x14ac:dyDescent="0.25">
      <c r="E212" s="1"/>
      <c r="F212" s="1"/>
      <c r="G212" s="1"/>
      <c r="I212" s="1"/>
      <c r="K212" s="1"/>
    </row>
    <row r="213" spans="5:18" x14ac:dyDescent="0.25">
      <c r="E213" s="1"/>
      <c r="F213" s="1"/>
      <c r="G213" s="1"/>
      <c r="I213" s="1"/>
      <c r="K213" s="1"/>
      <c r="N213" s="1"/>
      <c r="R213" s="1"/>
    </row>
    <row r="214" spans="5:18" x14ac:dyDescent="0.25">
      <c r="E214" s="1"/>
      <c r="F214" s="1"/>
      <c r="G214" s="1"/>
      <c r="I214" s="1"/>
      <c r="K214" s="1"/>
      <c r="N214" s="1"/>
      <c r="R214" s="1"/>
    </row>
    <row r="215" spans="5:18" x14ac:dyDescent="0.25">
      <c r="E215" s="1"/>
      <c r="F215" s="1"/>
      <c r="G215" s="1"/>
      <c r="I215" s="1"/>
      <c r="K215" s="1"/>
    </row>
    <row r="216" spans="5:18" x14ac:dyDescent="0.25">
      <c r="E216" s="1"/>
      <c r="F216" s="1"/>
      <c r="G216" s="1"/>
      <c r="I216" s="1"/>
      <c r="K216" s="1"/>
    </row>
    <row r="217" spans="5:18" x14ac:dyDescent="0.25">
      <c r="E217" s="1"/>
      <c r="F217" s="1"/>
      <c r="G217" s="1"/>
      <c r="I217" s="1"/>
      <c r="K217" s="1"/>
    </row>
    <row r="218" spans="5:18" x14ac:dyDescent="0.25">
      <c r="E218" s="1"/>
      <c r="F218" s="1"/>
      <c r="G218" s="1"/>
      <c r="I218" s="1"/>
      <c r="K218" s="1"/>
    </row>
    <row r="219" spans="5:18" x14ac:dyDescent="0.25">
      <c r="E219" s="1"/>
      <c r="F219" s="1"/>
      <c r="G219" s="1"/>
      <c r="I219" s="1"/>
      <c r="K219" s="1"/>
    </row>
    <row r="220" spans="5:18" x14ac:dyDescent="0.25">
      <c r="E220" s="1"/>
      <c r="I220" s="1"/>
      <c r="K220" s="1"/>
    </row>
    <row r="221" spans="5:18" x14ac:dyDescent="0.25">
      <c r="E221" s="1"/>
      <c r="F221" s="1"/>
      <c r="G221" s="1"/>
      <c r="I221" s="1"/>
      <c r="K221" s="1"/>
      <c r="N221" s="1"/>
      <c r="R221" s="1"/>
    </row>
    <row r="222" spans="5:18" x14ac:dyDescent="0.25">
      <c r="E222" s="1"/>
      <c r="F222" s="1"/>
      <c r="G222" s="1"/>
      <c r="I222" s="1"/>
      <c r="K222" s="1"/>
    </row>
    <row r="223" spans="5:18" x14ac:dyDescent="0.25">
      <c r="E223" s="1"/>
      <c r="F223" s="1"/>
      <c r="G223" s="1"/>
      <c r="I223" s="1"/>
      <c r="K223" s="1"/>
      <c r="N223" s="1"/>
      <c r="R223" s="1"/>
    </row>
    <row r="224" spans="5:18" x14ac:dyDescent="0.25">
      <c r="E224" s="1"/>
      <c r="F224" s="1"/>
      <c r="I224" s="1"/>
      <c r="K224" s="1"/>
    </row>
    <row r="225" spans="5:18" x14ac:dyDescent="0.25">
      <c r="E225" s="1"/>
      <c r="F225" s="1"/>
      <c r="I225" s="1"/>
      <c r="K225" s="1"/>
    </row>
    <row r="230" spans="5:18" x14ac:dyDescent="0.25">
      <c r="N230" s="1"/>
      <c r="R230" s="1"/>
    </row>
    <row r="232" spans="5:18" x14ac:dyDescent="0.25">
      <c r="E232" s="1"/>
      <c r="F232" s="1"/>
      <c r="I232" s="1"/>
      <c r="K232" s="1"/>
    </row>
    <row r="233" spans="5:18" x14ac:dyDescent="0.25">
      <c r="E233" s="1"/>
      <c r="F233" s="1"/>
      <c r="I233" s="1"/>
      <c r="K233" s="1"/>
    </row>
    <row r="234" spans="5:18" x14ac:dyDescent="0.25">
      <c r="E234" s="1"/>
      <c r="F234" s="1"/>
      <c r="I234" s="1"/>
      <c r="K234" s="1"/>
    </row>
    <row r="235" spans="5:18" x14ac:dyDescent="0.25">
      <c r="E235" s="1"/>
      <c r="F235" s="1"/>
      <c r="G235" s="1"/>
      <c r="I235" s="1"/>
      <c r="K235" s="1"/>
    </row>
    <row r="236" spans="5:18" x14ac:dyDescent="0.25">
      <c r="E236" s="1"/>
      <c r="F236" s="1"/>
      <c r="G236" s="1"/>
      <c r="I236" s="1"/>
      <c r="K236" s="1"/>
    </row>
    <row r="237" spans="5:18" x14ac:dyDescent="0.25">
      <c r="E237" s="1"/>
      <c r="F237" s="1"/>
      <c r="G237" s="1"/>
      <c r="I237" s="1"/>
      <c r="K237" s="1"/>
    </row>
    <row r="238" spans="5:18" x14ac:dyDescent="0.25">
      <c r="E238" s="1"/>
      <c r="F238" s="1"/>
      <c r="G238" s="1"/>
      <c r="I238" s="1"/>
      <c r="K238" s="1"/>
    </row>
    <row r="239" spans="5:18" x14ac:dyDescent="0.25">
      <c r="G239" s="1"/>
      <c r="I239" s="1"/>
      <c r="K239" s="1"/>
    </row>
    <row r="240" spans="5:18" x14ac:dyDescent="0.25">
      <c r="E240" s="1"/>
      <c r="F240" s="1"/>
      <c r="G240" s="1"/>
      <c r="I240" s="1"/>
      <c r="K240" s="1"/>
    </row>
    <row r="241" spans="5:18" x14ac:dyDescent="0.25">
      <c r="E241" s="1"/>
      <c r="F241" s="1"/>
      <c r="G241" s="1"/>
      <c r="I241" s="1"/>
      <c r="K241" s="1"/>
    </row>
    <row r="242" spans="5:18" x14ac:dyDescent="0.25">
      <c r="E242" s="1"/>
      <c r="F242" s="1"/>
      <c r="G242" s="1"/>
      <c r="I242" s="1"/>
      <c r="K242" s="1"/>
      <c r="N242" s="1"/>
      <c r="R242" s="1"/>
    </row>
    <row r="243" spans="5:18" x14ac:dyDescent="0.25">
      <c r="E243" s="1"/>
      <c r="F243" s="1"/>
      <c r="G243" s="1"/>
      <c r="I243" s="1"/>
      <c r="K243" s="1"/>
    </row>
    <row r="247" spans="5:18" x14ac:dyDescent="0.25">
      <c r="E247" s="1"/>
      <c r="F247" s="1"/>
      <c r="I247" s="1"/>
      <c r="K247" s="1"/>
    </row>
    <row r="248" spans="5:18" x14ac:dyDescent="0.25">
      <c r="E248" s="1"/>
      <c r="F248" s="1"/>
      <c r="I248" s="1"/>
      <c r="K248" s="1"/>
      <c r="N248" s="1"/>
      <c r="R248" s="1"/>
    </row>
    <row r="249" spans="5:18" x14ac:dyDescent="0.25">
      <c r="E249" s="1"/>
      <c r="F249" s="1"/>
      <c r="I249" s="1"/>
      <c r="K249" s="1"/>
    </row>
    <row r="250" spans="5:18" x14ac:dyDescent="0.25">
      <c r="E250" s="1"/>
      <c r="F250" s="1"/>
      <c r="I250" s="1"/>
      <c r="K250" s="1"/>
    </row>
    <row r="251" spans="5:18" x14ac:dyDescent="0.25">
      <c r="E251" s="1"/>
      <c r="F251" s="1"/>
      <c r="I251" s="1"/>
      <c r="K251" s="1"/>
    </row>
    <row r="252" spans="5:18" x14ac:dyDescent="0.25">
      <c r="E252" s="1"/>
      <c r="F252" s="1"/>
      <c r="I252" s="1"/>
      <c r="K252" s="1"/>
    </row>
    <row r="253" spans="5:18" x14ac:dyDescent="0.25">
      <c r="E253" s="1"/>
      <c r="F253" s="1"/>
      <c r="G253" s="1"/>
      <c r="I253" s="1"/>
      <c r="K253" s="1"/>
    </row>
    <row r="254" spans="5:18" x14ac:dyDescent="0.25">
      <c r="E254" s="1"/>
      <c r="F254" s="1"/>
      <c r="G254" s="1"/>
      <c r="I254" s="1"/>
      <c r="K254" s="1"/>
    </row>
    <row r="255" spans="5:18" x14ac:dyDescent="0.25">
      <c r="E255" s="1"/>
      <c r="F255" s="1"/>
      <c r="G255" s="1"/>
      <c r="I255" s="1"/>
      <c r="K255" s="1"/>
    </row>
    <row r="256" spans="5:18" x14ac:dyDescent="0.25">
      <c r="E256" s="1"/>
      <c r="F256" s="1"/>
      <c r="G256" s="1"/>
      <c r="I256" s="1"/>
      <c r="K256" s="1"/>
    </row>
    <row r="257" spans="5:18" x14ac:dyDescent="0.25">
      <c r="G257" s="1"/>
      <c r="I257" s="1"/>
      <c r="K257" s="1"/>
      <c r="N257" s="1"/>
      <c r="R257" s="1"/>
    </row>
    <row r="258" spans="5:18" x14ac:dyDescent="0.25">
      <c r="E258" s="1"/>
      <c r="F258" s="1"/>
      <c r="G258" s="1"/>
      <c r="I258" s="1"/>
      <c r="K258" s="1"/>
    </row>
    <row r="259" spans="5:18" x14ac:dyDescent="0.25">
      <c r="E259" s="1"/>
      <c r="F259" s="1"/>
      <c r="G259" s="1"/>
      <c r="I259" s="1"/>
      <c r="K259" s="1"/>
    </row>
    <row r="260" spans="5:18" x14ac:dyDescent="0.25">
      <c r="E260" s="1"/>
      <c r="F260" s="1"/>
      <c r="G260" s="1"/>
      <c r="I260" s="1"/>
      <c r="K260" s="1"/>
    </row>
    <row r="262" spans="5:18" x14ac:dyDescent="0.25">
      <c r="E262" s="1"/>
      <c r="F262" s="1"/>
      <c r="I262" s="1"/>
      <c r="K262" s="1"/>
    </row>
    <row r="263" spans="5:18" x14ac:dyDescent="0.25">
      <c r="E263" s="1"/>
      <c r="F263" s="1"/>
      <c r="I263" s="1"/>
      <c r="K263" s="1"/>
    </row>
    <row r="264" spans="5:18" x14ac:dyDescent="0.25">
      <c r="E264" s="1"/>
      <c r="F264" s="1"/>
      <c r="I264" s="1"/>
      <c r="K264" s="1"/>
    </row>
    <row r="265" spans="5:18" x14ac:dyDescent="0.25">
      <c r="E265" s="1"/>
      <c r="F265" s="1"/>
      <c r="I265" s="1"/>
      <c r="K265" s="1"/>
      <c r="N265" s="1"/>
      <c r="R265" s="1"/>
    </row>
    <row r="266" spans="5:18" x14ac:dyDescent="0.25">
      <c r="E266" s="1"/>
      <c r="F266" s="1"/>
      <c r="I266" s="1"/>
      <c r="K266" s="1"/>
    </row>
    <row r="267" spans="5:18" x14ac:dyDescent="0.25">
      <c r="E267" s="1"/>
      <c r="F267" s="1"/>
      <c r="G267" s="1"/>
      <c r="I267" s="1"/>
      <c r="K267" s="1"/>
    </row>
    <row r="270" spans="5:18" x14ac:dyDescent="0.25">
      <c r="E270" s="1"/>
      <c r="F270" s="1"/>
      <c r="G270" s="1"/>
      <c r="I270" s="1"/>
      <c r="K270" s="1"/>
    </row>
    <row r="271" spans="5:18" x14ac:dyDescent="0.25">
      <c r="E271" s="1"/>
      <c r="F271" s="1"/>
      <c r="G271" s="1"/>
      <c r="I271" s="1"/>
      <c r="K271" s="1"/>
    </row>
    <row r="272" spans="5:18" x14ac:dyDescent="0.25">
      <c r="E272" s="1"/>
      <c r="F272" s="1"/>
      <c r="G272" s="1"/>
      <c r="I272" s="1"/>
      <c r="K272" s="1"/>
      <c r="N272" s="1"/>
      <c r="R272" s="1"/>
    </row>
    <row r="273" spans="5:18" x14ac:dyDescent="0.25">
      <c r="E273" s="1"/>
      <c r="F273" s="1"/>
      <c r="G273" s="1"/>
      <c r="I273" s="1"/>
      <c r="K273" s="1"/>
    </row>
    <row r="274" spans="5:18" x14ac:dyDescent="0.25">
      <c r="E274" s="1"/>
      <c r="F274" s="1"/>
      <c r="G274" s="1"/>
      <c r="I274" s="1"/>
      <c r="K274" s="1"/>
    </row>
    <row r="275" spans="5:18" x14ac:dyDescent="0.25">
      <c r="E275" s="1"/>
      <c r="F275" s="1"/>
      <c r="G275" s="1"/>
      <c r="I275" s="1"/>
      <c r="K275" s="1"/>
    </row>
    <row r="276" spans="5:18" x14ac:dyDescent="0.25">
      <c r="E276" s="1"/>
      <c r="F276" s="1"/>
      <c r="G276" s="1"/>
      <c r="I276" s="1"/>
      <c r="K276" s="1"/>
    </row>
    <row r="277" spans="5:18" x14ac:dyDescent="0.25">
      <c r="E277" s="1"/>
      <c r="F277" s="1"/>
      <c r="G277" s="1"/>
      <c r="I277" s="1"/>
      <c r="K277" s="1"/>
    </row>
    <row r="278" spans="5:18" x14ac:dyDescent="0.25">
      <c r="E278" s="1"/>
      <c r="F278" s="1"/>
      <c r="G278" s="1"/>
      <c r="I278" s="1"/>
      <c r="K278" s="1"/>
    </row>
    <row r="279" spans="5:18" x14ac:dyDescent="0.25">
      <c r="E279" s="1"/>
      <c r="F279" s="1"/>
      <c r="I279" s="1"/>
      <c r="K279" s="1"/>
    </row>
    <row r="280" spans="5:18" x14ac:dyDescent="0.25">
      <c r="E280" s="1"/>
      <c r="F280" s="1"/>
      <c r="G280" s="1"/>
      <c r="I280" s="1"/>
      <c r="K280" s="1"/>
    </row>
    <row r="281" spans="5:18" x14ac:dyDescent="0.25">
      <c r="E281" s="1"/>
      <c r="F281" s="1"/>
      <c r="G281" s="1"/>
      <c r="I281" s="1"/>
      <c r="K281" s="1"/>
    </row>
    <row r="282" spans="5:18" x14ac:dyDescent="0.25">
      <c r="E282" s="1"/>
      <c r="F282" s="1"/>
      <c r="G282" s="1"/>
      <c r="I282" s="1"/>
      <c r="K282" s="1"/>
      <c r="N282" s="1"/>
      <c r="R282" s="1"/>
    </row>
    <row r="283" spans="5:18" x14ac:dyDescent="0.25">
      <c r="E283" s="1"/>
      <c r="F283" s="1"/>
      <c r="I283" s="1"/>
      <c r="K283" s="1"/>
    </row>
    <row r="287" spans="5:18" x14ac:dyDescent="0.25">
      <c r="E287" s="1"/>
      <c r="F287" s="1"/>
      <c r="G287" s="1"/>
      <c r="I287" s="1"/>
      <c r="K287" s="1"/>
    </row>
    <row r="288" spans="5:18" x14ac:dyDescent="0.25">
      <c r="E288" s="1"/>
      <c r="F288" s="1"/>
      <c r="G288" s="1"/>
      <c r="I288" s="1"/>
      <c r="K288" s="1"/>
      <c r="N288" s="1"/>
      <c r="R288" s="1"/>
    </row>
    <row r="289" spans="5:18" x14ac:dyDescent="0.25">
      <c r="E289" s="1"/>
      <c r="F289" s="1"/>
      <c r="G289" s="1"/>
      <c r="I289" s="1"/>
      <c r="K289" s="1"/>
    </row>
    <row r="290" spans="5:18" x14ac:dyDescent="0.25">
      <c r="E290" s="1"/>
      <c r="F290" s="1"/>
      <c r="G290" s="1"/>
      <c r="I290" s="1"/>
      <c r="K290" s="1"/>
    </row>
    <row r="291" spans="5:18" x14ac:dyDescent="0.25">
      <c r="E291" s="1"/>
      <c r="F291" s="1"/>
      <c r="G291" s="1"/>
      <c r="I291" s="1"/>
      <c r="K291" s="1"/>
    </row>
    <row r="292" spans="5:18" x14ac:dyDescent="0.25">
      <c r="E292" s="1"/>
      <c r="F292" s="1"/>
      <c r="G292" s="1"/>
      <c r="I292" s="1"/>
      <c r="K292" s="1"/>
    </row>
    <row r="293" spans="5:18" x14ac:dyDescent="0.25">
      <c r="E293" s="1"/>
      <c r="F293" s="1"/>
      <c r="G293" s="1"/>
      <c r="I293" s="1"/>
      <c r="K293" s="1"/>
    </row>
    <row r="294" spans="5:18" x14ac:dyDescent="0.25">
      <c r="E294" s="1"/>
      <c r="F294" s="1"/>
      <c r="G294" s="1"/>
      <c r="I294" s="1"/>
      <c r="K294" s="1"/>
    </row>
    <row r="295" spans="5:18" x14ac:dyDescent="0.25">
      <c r="E295" s="1"/>
      <c r="F295" s="1"/>
      <c r="G295" s="1"/>
      <c r="I295" s="1"/>
      <c r="K295" s="1"/>
    </row>
    <row r="299" spans="5:18" x14ac:dyDescent="0.25">
      <c r="E299" s="1"/>
      <c r="F299" s="1"/>
      <c r="G299" s="1"/>
      <c r="I299" s="1"/>
      <c r="K299" s="1"/>
    </row>
    <row r="300" spans="5:18" x14ac:dyDescent="0.25">
      <c r="E300" s="1"/>
      <c r="F300" s="1"/>
      <c r="G300" s="1"/>
      <c r="I300" s="1"/>
      <c r="K300" s="1"/>
      <c r="N300" s="1"/>
      <c r="R300" s="1"/>
    </row>
    <row r="301" spans="5:18" x14ac:dyDescent="0.25">
      <c r="E301" s="1"/>
      <c r="F301" s="1"/>
      <c r="G301" s="1"/>
      <c r="I301" s="1"/>
      <c r="K301" s="1"/>
    </row>
    <row r="302" spans="5:18" x14ac:dyDescent="0.25">
      <c r="E302" s="1"/>
      <c r="F302" s="1"/>
      <c r="G302" s="1"/>
      <c r="I302" s="1"/>
      <c r="K302" s="1"/>
    </row>
    <row r="303" spans="5:18" x14ac:dyDescent="0.25">
      <c r="E303" s="1"/>
      <c r="F303" s="1"/>
      <c r="G303" s="1"/>
      <c r="I303" s="1"/>
      <c r="K303" s="1"/>
    </row>
    <row r="305" spans="5:18" x14ac:dyDescent="0.25">
      <c r="E305" s="1"/>
      <c r="F305" s="1"/>
      <c r="G305" s="1"/>
      <c r="I305" s="1"/>
      <c r="K305" s="1"/>
    </row>
    <row r="306" spans="5:18" x14ac:dyDescent="0.25">
      <c r="E306" s="1"/>
      <c r="F306" s="1"/>
      <c r="G306" s="1"/>
      <c r="I306" s="1"/>
      <c r="K306" s="1"/>
    </row>
    <row r="307" spans="5:18" x14ac:dyDescent="0.25">
      <c r="E307" s="1"/>
      <c r="F307" s="1"/>
      <c r="G307" s="1"/>
      <c r="I307" s="1"/>
      <c r="K307" s="1"/>
    </row>
    <row r="308" spans="5:18" x14ac:dyDescent="0.25">
      <c r="E308" s="1"/>
      <c r="F308" s="1"/>
      <c r="G308" s="1"/>
      <c r="I308" s="1"/>
      <c r="K308" s="1"/>
      <c r="N308" s="1"/>
      <c r="R308" s="1"/>
    </row>
    <row r="309" spans="5:18" x14ac:dyDescent="0.25">
      <c r="E309" s="1"/>
      <c r="F309" s="1"/>
      <c r="G309" s="1"/>
      <c r="I309" s="1"/>
      <c r="K309" s="1"/>
    </row>
    <row r="310" spans="5:18" x14ac:dyDescent="0.25">
      <c r="E310" s="1"/>
      <c r="F310" s="1"/>
      <c r="G310" s="1"/>
      <c r="I310" s="1"/>
      <c r="K310" s="1"/>
    </row>
    <row r="311" spans="5:18" x14ac:dyDescent="0.25">
      <c r="E311" s="1"/>
      <c r="F311" s="1"/>
      <c r="G311" s="1"/>
      <c r="I311" s="1"/>
      <c r="K311" s="1"/>
    </row>
    <row r="312" spans="5:18" x14ac:dyDescent="0.25">
      <c r="E312" s="1"/>
      <c r="F312" s="1"/>
      <c r="G312" s="1"/>
      <c r="I312" s="1"/>
      <c r="K312" s="1"/>
    </row>
    <row r="313" spans="5:18" x14ac:dyDescent="0.25">
      <c r="E313" s="1"/>
      <c r="F313" s="1"/>
      <c r="G313" s="1"/>
      <c r="I313" s="1"/>
      <c r="K313" s="1"/>
    </row>
    <row r="314" spans="5:18" x14ac:dyDescent="0.25">
      <c r="E314" s="1"/>
      <c r="F314" s="1"/>
      <c r="G314" s="1"/>
      <c r="I314" s="1"/>
      <c r="K314" s="1"/>
    </row>
    <row r="315" spans="5:18" x14ac:dyDescent="0.25">
      <c r="E315" s="1"/>
      <c r="F315" s="1"/>
      <c r="G315" s="1"/>
      <c r="I315" s="1"/>
      <c r="K315" s="1"/>
    </row>
    <row r="316" spans="5:18" x14ac:dyDescent="0.25">
      <c r="E316" s="1"/>
      <c r="F316" s="1"/>
      <c r="G316" s="1"/>
      <c r="I316" s="1"/>
      <c r="K316" s="1"/>
    </row>
    <row r="317" spans="5:18" x14ac:dyDescent="0.25">
      <c r="E317" s="1"/>
      <c r="F317" s="1"/>
      <c r="G317" s="1"/>
      <c r="I317" s="1"/>
      <c r="K317" s="1"/>
    </row>
    <row r="319" spans="5:18" x14ac:dyDescent="0.25">
      <c r="N319" s="1"/>
      <c r="R319" s="1"/>
    </row>
    <row r="322" spans="5:18" x14ac:dyDescent="0.25">
      <c r="N322" s="1"/>
      <c r="R322" s="1"/>
    </row>
    <row r="327" spans="5:18" x14ac:dyDescent="0.25">
      <c r="E327" s="1"/>
      <c r="F327" s="1"/>
      <c r="I327" s="1"/>
      <c r="K327" s="1"/>
    </row>
    <row r="328" spans="5:18" x14ac:dyDescent="0.25">
      <c r="E328" s="1"/>
      <c r="F328" s="1"/>
      <c r="I328" s="1"/>
      <c r="K328" s="1"/>
    </row>
    <row r="329" spans="5:18" x14ac:dyDescent="0.25">
      <c r="E329" s="1"/>
      <c r="F329" s="1"/>
      <c r="I329" s="1"/>
      <c r="K329" s="1"/>
    </row>
    <row r="330" spans="5:18" x14ac:dyDescent="0.25">
      <c r="E330" s="1"/>
      <c r="F330" s="1"/>
      <c r="I330" s="1"/>
      <c r="K330" s="1"/>
    </row>
    <row r="331" spans="5:18" x14ac:dyDescent="0.25">
      <c r="E331" s="1"/>
      <c r="F331" s="1"/>
      <c r="I331" s="1"/>
      <c r="K331" s="1"/>
    </row>
    <row r="332" spans="5:18" x14ac:dyDescent="0.25">
      <c r="E332" s="1"/>
      <c r="I332" s="1"/>
      <c r="K332" s="1"/>
    </row>
    <row r="337" spans="5:18" x14ac:dyDescent="0.25">
      <c r="N337" s="1"/>
      <c r="R337" s="1"/>
    </row>
    <row r="342" spans="5:18" x14ac:dyDescent="0.25">
      <c r="E342" s="1"/>
      <c r="F342" s="1"/>
      <c r="I342" s="1"/>
      <c r="K342" s="1"/>
    </row>
    <row r="343" spans="5:18" x14ac:dyDescent="0.25">
      <c r="E343" s="1"/>
      <c r="F343" s="1"/>
      <c r="I343" s="1"/>
      <c r="K343" s="1"/>
    </row>
    <row r="344" spans="5:18" x14ac:dyDescent="0.25">
      <c r="E344" s="1"/>
      <c r="F344" s="1"/>
      <c r="I344" s="1"/>
      <c r="K344" s="1"/>
    </row>
    <row r="345" spans="5:18" x14ac:dyDescent="0.25">
      <c r="E345" s="1"/>
      <c r="F345" s="1"/>
      <c r="I345" s="1"/>
      <c r="K345" s="1"/>
    </row>
    <row r="346" spans="5:18" x14ac:dyDescent="0.25">
      <c r="E346" s="1"/>
      <c r="F346" s="1"/>
      <c r="I346" s="1"/>
      <c r="K346" s="1"/>
    </row>
    <row r="351" spans="5:18" x14ac:dyDescent="0.25">
      <c r="N351" s="1"/>
      <c r="R351" s="1"/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H14"/>
  <sheetViews>
    <sheetView zoomScaleNormal="100" workbookViewId="0">
      <selection activeCell="K11" sqref="K11"/>
    </sheetView>
  </sheetViews>
  <sheetFormatPr baseColWidth="10" defaultColWidth="11.140625" defaultRowHeight="15" x14ac:dyDescent="0.25"/>
  <cols>
    <col min="1" max="1" width="8.42578125" style="14" customWidth="1"/>
    <col min="2" max="2" width="5" style="14" hidden="1" customWidth="1"/>
    <col min="3" max="3" width="6.140625" style="14" hidden="1" customWidth="1"/>
    <col min="4" max="4" width="7.85546875" style="14" customWidth="1"/>
    <col min="5" max="5" width="44.85546875" style="14" customWidth="1"/>
    <col min="6" max="6" width="6.85546875" style="15" customWidth="1"/>
    <col min="7" max="7" width="2.5703125" style="14" customWidth="1"/>
    <col min="8" max="8" width="6.140625" style="14" hidden="1" customWidth="1"/>
    <col min="9" max="9" width="1.42578125" style="14" customWidth="1"/>
    <col min="10" max="16384" width="11.140625" style="14"/>
  </cols>
  <sheetData>
    <row r="1" spans="2:8" ht="37.5" customHeight="1" thickBot="1" x14ac:dyDescent="0.3"/>
    <row r="2" spans="2:8" ht="15" customHeight="1" thickBot="1" x14ac:dyDescent="0.3">
      <c r="B2" s="13"/>
      <c r="C2" s="98"/>
      <c r="D2" s="164" t="s">
        <v>10</v>
      </c>
      <c r="E2" s="165"/>
      <c r="F2" s="166"/>
      <c r="H2" s="13"/>
    </row>
    <row r="3" spans="2:8" ht="15" customHeight="1" thickBot="1" x14ac:dyDescent="0.3">
      <c r="B3" s="13"/>
      <c r="C3" s="99"/>
      <c r="D3" s="11" t="s">
        <v>99</v>
      </c>
      <c r="E3" s="7" t="s">
        <v>100</v>
      </c>
      <c r="F3" s="12" t="s">
        <v>101</v>
      </c>
      <c r="H3" s="13"/>
    </row>
    <row r="4" spans="2:8" ht="15" customHeight="1" x14ac:dyDescent="0.25">
      <c r="B4" s="13"/>
      <c r="C4" s="100" t="e">
        <f>D$2&amp;#REF!</f>
        <v>#REF!</v>
      </c>
      <c r="D4" s="16" t="s">
        <v>592</v>
      </c>
      <c r="E4" s="17" t="s">
        <v>179</v>
      </c>
      <c r="F4" s="16">
        <v>1</v>
      </c>
      <c r="H4" s="8" t="e">
        <f>#REF!&amp;#REF!</f>
        <v>#REF!</v>
      </c>
    </row>
    <row r="5" spans="2:8" ht="15" customHeight="1" x14ac:dyDescent="0.25">
      <c r="B5" s="13"/>
      <c r="C5" s="101" t="e">
        <f>D$2&amp;#REF!</f>
        <v>#REF!</v>
      </c>
      <c r="D5" s="18" t="s">
        <v>548</v>
      </c>
      <c r="E5" s="19" t="s">
        <v>182</v>
      </c>
      <c r="F5" s="18">
        <v>1</v>
      </c>
      <c r="H5" s="9" t="e">
        <f>#REF!&amp;#REF!</f>
        <v>#REF!</v>
      </c>
    </row>
    <row r="6" spans="2:8" ht="15" customHeight="1" x14ac:dyDescent="0.25">
      <c r="B6" s="13"/>
      <c r="C6" s="101" t="e">
        <f>D$2&amp;#REF!</f>
        <v>#REF!</v>
      </c>
      <c r="D6" s="18" t="s">
        <v>538</v>
      </c>
      <c r="E6" s="19" t="s">
        <v>572</v>
      </c>
      <c r="F6" s="18">
        <v>1</v>
      </c>
      <c r="H6" s="9" t="e">
        <f>#REF!&amp;#REF!</f>
        <v>#REF!</v>
      </c>
    </row>
    <row r="7" spans="2:8" ht="15" customHeight="1" x14ac:dyDescent="0.25">
      <c r="B7" s="13"/>
      <c r="C7" s="101" t="e">
        <f>D$2&amp;#REF!</f>
        <v>#REF!</v>
      </c>
      <c r="D7" s="18">
        <f>_xlfn.XLOOKUP(E7,Electivas!B:B,Electivas!A:A)</f>
        <v>0</v>
      </c>
      <c r="E7" s="19"/>
      <c r="F7" s="18"/>
      <c r="H7" s="9" t="e">
        <f>#REF!&amp;#REF!</f>
        <v>#REF!</v>
      </c>
    </row>
    <row r="8" spans="2:8" ht="15" customHeight="1" x14ac:dyDescent="0.25">
      <c r="B8" s="13"/>
      <c r="C8" s="101" t="e">
        <f>D$2&amp;#REF!</f>
        <v>#REF!</v>
      </c>
      <c r="D8" s="18">
        <f>_xlfn.XLOOKUP(E8,Electivas!B:B,Electivas!A:A)</f>
        <v>0</v>
      </c>
      <c r="E8" s="19"/>
      <c r="F8" s="18"/>
      <c r="H8" s="9" t="e">
        <f>#REF!&amp;#REF!</f>
        <v>#REF!</v>
      </c>
    </row>
    <row r="9" spans="2:8" ht="15" customHeight="1" x14ac:dyDescent="0.25">
      <c r="B9" s="13"/>
      <c r="C9" s="101" t="e">
        <f>D$2&amp;#REF!</f>
        <v>#REF!</v>
      </c>
      <c r="D9" s="18">
        <f>_xlfn.XLOOKUP(E9,Electivas!B:B,Electivas!A:A)</f>
        <v>0</v>
      </c>
      <c r="E9" s="19"/>
      <c r="F9" s="18"/>
      <c r="H9" s="9" t="e">
        <f>#REF!&amp;#REF!</f>
        <v>#REF!</v>
      </c>
    </row>
    <row r="10" spans="2:8" ht="15" customHeight="1" x14ac:dyDescent="0.25">
      <c r="B10" s="13"/>
      <c r="C10" s="101" t="e">
        <f>D$2&amp;#REF!</f>
        <v>#REF!</v>
      </c>
      <c r="D10" s="18">
        <f>_xlfn.XLOOKUP(E10,Electivas!B:B,Electivas!A:A)</f>
        <v>0</v>
      </c>
      <c r="E10" s="19"/>
      <c r="F10" s="18"/>
      <c r="H10" s="9" t="e">
        <f>#REF!&amp;#REF!</f>
        <v>#REF!</v>
      </c>
    </row>
    <row r="11" spans="2:8" ht="15" customHeight="1" x14ac:dyDescent="0.25">
      <c r="B11" s="13"/>
      <c r="C11" s="101" t="e">
        <f>D$2&amp;#REF!</f>
        <v>#REF!</v>
      </c>
      <c r="D11" s="18">
        <f>_xlfn.XLOOKUP(E11,Electivas!B:B,Electivas!A:A)</f>
        <v>0</v>
      </c>
      <c r="E11" s="19"/>
      <c r="F11" s="18"/>
      <c r="H11" s="9" t="e">
        <f>#REF!&amp;#REF!</f>
        <v>#REF!</v>
      </c>
    </row>
    <row r="12" spans="2:8" ht="15" customHeight="1" x14ac:dyDescent="0.25">
      <c r="B12" s="13"/>
      <c r="C12" s="101" t="e">
        <f>D$2&amp;#REF!</f>
        <v>#REF!</v>
      </c>
      <c r="D12" s="18">
        <f>_xlfn.XLOOKUP(E12,Electivas!B:B,Electivas!A:A)</f>
        <v>0</v>
      </c>
      <c r="E12" s="19"/>
      <c r="F12" s="18"/>
      <c r="H12" s="9" t="e">
        <f>#REF!&amp;#REF!</f>
        <v>#REF!</v>
      </c>
    </row>
    <row r="13" spans="2:8" ht="15" customHeight="1" thickBot="1" x14ac:dyDescent="0.3">
      <c r="B13" s="13"/>
      <c r="C13" s="102" t="e">
        <f>D$2&amp;#REF!</f>
        <v>#REF!</v>
      </c>
      <c r="D13" s="20">
        <f>_xlfn.XLOOKUP(E13,Electivas!B:B,Electivas!A:A)</f>
        <v>0</v>
      </c>
      <c r="E13" s="21"/>
      <c r="F13" s="20"/>
      <c r="H13" s="10" t="e">
        <f>#REF!&amp;#REF!</f>
        <v>#REF!</v>
      </c>
    </row>
    <row r="14" spans="2:8" ht="15" customHeight="1" x14ac:dyDescent="0.25"/>
  </sheetData>
  <sheetProtection selectLockedCells="1"/>
  <protectedRanges>
    <protectedRange sqref="D4:F5 D7:F13" name="Rango1"/>
    <protectedRange sqref="D6:F6" name="Rango1_1"/>
  </protectedRanges>
  <mergeCells count="1">
    <mergeCell ref="D2:F2"/>
  </mergeCells>
  <conditionalFormatting sqref="D4:F13">
    <cfRule type="cellIs" dxfId="8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323850</xdr:colOff>
                <xdr:row>3</xdr:row>
                <xdr:rowOff>171450</xdr:rowOff>
              </from>
              <to>
                <xdr:col>11</xdr:col>
                <xdr:colOff>171450</xdr:colOff>
                <xdr:row>7</xdr:row>
                <xdr:rowOff>47625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4" r:id="rId5" name="Button 6">
          <controlPr defaultSize="0" print="0" autoFill="0" autoPict="0" macro="[0]!Volver">
            <anchor moveWithCells="1" sizeWithCells="1">
              <from>
                <xdr:col>9</xdr:col>
                <xdr:colOff>266700</xdr:colOff>
                <xdr:row>3</xdr:row>
                <xdr:rowOff>171450</xdr:rowOff>
              </from>
              <to>
                <xdr:col>11</xdr:col>
                <xdr:colOff>247650</xdr:colOff>
                <xdr:row>7</xdr:row>
                <xdr:rowOff>57150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DCA45DD2-9F84-4CD0-A2EA-17EF2BF33359}">
          <x14:formula1>
            <xm:f>Electivas!$B$2:$B$18</xm:f>
          </x14:formula1>
          <xm:sqref>E7:E1048576 E1:E6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B3316-6BE7-4AB7-8F81-5EB496DABEFD}">
  <sheetPr codeName="Hoja3"/>
  <dimension ref="A1:C10"/>
  <sheetViews>
    <sheetView workbookViewId="0">
      <selection activeCell="B6" sqref="B6"/>
    </sheetView>
  </sheetViews>
  <sheetFormatPr baseColWidth="10" defaultRowHeight="15" x14ac:dyDescent="0.25"/>
  <cols>
    <col min="2" max="2" width="39.28515625" customWidth="1"/>
  </cols>
  <sheetData>
    <row r="1" spans="1:3" ht="15.75" thickBot="1" x14ac:dyDescent="0.3">
      <c r="A1" s="11" t="s">
        <v>99</v>
      </c>
      <c r="B1" s="7" t="s">
        <v>100</v>
      </c>
      <c r="C1" s="12" t="s">
        <v>101</v>
      </c>
    </row>
    <row r="2" spans="1:3" x14ac:dyDescent="0.25">
      <c r="A2" s="16" t="s">
        <v>538</v>
      </c>
      <c r="B2" s="17" t="s">
        <v>572</v>
      </c>
      <c r="C2" s="16">
        <v>1</v>
      </c>
    </row>
    <row r="3" spans="1:3" x14ac:dyDescent="0.25">
      <c r="A3" s="18" t="s">
        <v>577</v>
      </c>
      <c r="B3" s="19" t="s">
        <v>576</v>
      </c>
      <c r="C3" s="18">
        <v>1</v>
      </c>
    </row>
    <row r="4" spans="1:3" x14ac:dyDescent="0.25">
      <c r="A4" s="18" t="s">
        <v>581</v>
      </c>
      <c r="B4" s="19" t="s">
        <v>573</v>
      </c>
      <c r="C4" s="18">
        <v>1</v>
      </c>
    </row>
    <row r="5" spans="1:3" x14ac:dyDescent="0.25">
      <c r="A5" s="18" t="s">
        <v>579</v>
      </c>
      <c r="B5" s="19" t="s">
        <v>578</v>
      </c>
      <c r="C5" s="18">
        <v>1</v>
      </c>
    </row>
    <row r="6" spans="1:3" x14ac:dyDescent="0.25">
      <c r="A6" s="18" t="s">
        <v>582</v>
      </c>
      <c r="B6" s="19" t="s">
        <v>574</v>
      </c>
      <c r="C6" s="18">
        <v>1</v>
      </c>
    </row>
    <row r="7" spans="1:3" x14ac:dyDescent="0.25">
      <c r="A7" s="18" t="s">
        <v>532</v>
      </c>
      <c r="B7" s="19" t="s">
        <v>583</v>
      </c>
      <c r="C7" s="18">
        <v>1</v>
      </c>
    </row>
    <row r="8" spans="1:3" x14ac:dyDescent="0.25">
      <c r="A8" s="18" t="s">
        <v>580</v>
      </c>
      <c r="B8" s="19" t="s">
        <v>575</v>
      </c>
      <c r="C8" s="18">
        <v>1</v>
      </c>
    </row>
    <row r="9" spans="1:3" x14ac:dyDescent="0.25">
      <c r="A9" s="18" t="s">
        <v>548</v>
      </c>
      <c r="B9" s="19" t="s">
        <v>182</v>
      </c>
      <c r="C9" s="18">
        <v>1</v>
      </c>
    </row>
    <row r="10" spans="1:3" x14ac:dyDescent="0.25">
      <c r="A10" s="18" t="s">
        <v>102</v>
      </c>
      <c r="B10" s="19" t="s">
        <v>179</v>
      </c>
      <c r="C10" s="18">
        <v>1</v>
      </c>
    </row>
  </sheetData>
  <protectedRanges>
    <protectedRange sqref="A2:C3 A4:B4 C4:C8" name="Rango1"/>
  </protectedRange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244"/>
  <sheetViews>
    <sheetView showGridLines="0" zoomScale="115" zoomScaleNormal="115" workbookViewId="0">
      <pane ySplit="1" topLeftCell="A131" activePane="bottomLeft" state="frozen"/>
      <selection pane="bottomLeft" activeCell="F237" sqref="F237"/>
    </sheetView>
  </sheetViews>
  <sheetFormatPr baseColWidth="10" defaultColWidth="11.140625" defaultRowHeight="15" x14ac:dyDescent="0.25"/>
  <cols>
    <col min="1" max="1" width="10.42578125" style="52" customWidth="1"/>
    <col min="2" max="2" width="30.85546875" style="45" customWidth="1"/>
    <col min="3" max="3" width="10.42578125" style="52" customWidth="1"/>
    <col min="4" max="4" width="1.85546875" style="52" customWidth="1"/>
    <col min="5" max="5" width="10.42578125" style="52" customWidth="1"/>
    <col min="6" max="6" width="30.85546875" style="45" customWidth="1"/>
    <col min="7" max="7" width="1.85546875" style="52" customWidth="1"/>
    <col min="8" max="8" width="10.42578125" style="52" customWidth="1"/>
    <col min="9" max="9" width="34.140625" style="45" customWidth="1"/>
    <col min="10" max="16384" width="11.140625" style="45"/>
  </cols>
  <sheetData>
    <row r="1" spans="1:9" ht="15.75" thickBot="1" x14ac:dyDescent="0.3">
      <c r="A1" s="11" t="s">
        <v>105</v>
      </c>
      <c r="B1" s="7" t="s">
        <v>100</v>
      </c>
      <c r="C1" s="11"/>
      <c r="D1" s="82"/>
      <c r="E1" s="11" t="s">
        <v>105</v>
      </c>
      <c r="F1" s="44" t="s">
        <v>100</v>
      </c>
      <c r="G1" s="82"/>
      <c r="H1" s="11" t="s">
        <v>105</v>
      </c>
      <c r="I1" s="44" t="s">
        <v>100</v>
      </c>
    </row>
    <row r="2" spans="1:9" x14ac:dyDescent="0.25">
      <c r="A2" s="46" t="s">
        <v>31</v>
      </c>
      <c r="B2" s="47" t="s">
        <v>106</v>
      </c>
      <c r="C2" s="46"/>
      <c r="D2" s="83"/>
      <c r="E2" s="46"/>
      <c r="F2" s="48"/>
      <c r="G2" s="83"/>
      <c r="H2" s="46"/>
      <c r="I2" s="48"/>
    </row>
    <row r="3" spans="1:9" x14ac:dyDescent="0.25">
      <c r="A3" s="49" t="s">
        <v>32</v>
      </c>
      <c r="B3" s="50" t="s">
        <v>107</v>
      </c>
      <c r="C3" s="49"/>
      <c r="D3" s="83"/>
      <c r="E3" s="49"/>
      <c r="F3" s="51"/>
      <c r="G3" s="83"/>
      <c r="H3" s="49"/>
      <c r="I3" s="51"/>
    </row>
    <row r="4" spans="1:9" x14ac:dyDescent="0.25">
      <c r="A4" s="49" t="s">
        <v>33</v>
      </c>
      <c r="B4" s="50" t="s">
        <v>108</v>
      </c>
      <c r="C4" s="49"/>
      <c r="D4" s="83"/>
      <c r="E4" s="49"/>
      <c r="F4" s="51"/>
      <c r="G4" s="83"/>
      <c r="H4" s="49"/>
      <c r="I4" s="51"/>
    </row>
    <row r="5" spans="1:9" x14ac:dyDescent="0.25">
      <c r="A5" s="49" t="s">
        <v>34</v>
      </c>
      <c r="B5" s="50" t="s">
        <v>109</v>
      </c>
      <c r="C5" s="49"/>
      <c r="D5" s="83"/>
      <c r="E5" s="49"/>
      <c r="F5" s="51"/>
      <c r="G5" s="83"/>
      <c r="H5" s="49"/>
      <c r="I5" s="51"/>
    </row>
    <row r="6" spans="1:9" x14ac:dyDescent="0.25">
      <c r="A6" s="49" t="s">
        <v>35</v>
      </c>
      <c r="B6" s="50" t="s">
        <v>110</v>
      </c>
      <c r="C6" s="49"/>
      <c r="D6" s="83"/>
      <c r="E6" s="49"/>
      <c r="F6" s="51"/>
      <c r="G6" s="83"/>
      <c r="H6" s="49"/>
      <c r="I6" s="51"/>
    </row>
    <row r="7" spans="1:9" x14ac:dyDescent="0.25">
      <c r="A7" s="49" t="s">
        <v>36</v>
      </c>
      <c r="B7" s="50" t="s">
        <v>37</v>
      </c>
      <c r="C7" s="49"/>
      <c r="D7" s="83"/>
      <c r="E7" s="49"/>
      <c r="F7" s="51"/>
      <c r="G7" s="83"/>
      <c r="H7" s="49"/>
      <c r="I7" s="51"/>
    </row>
    <row r="8" spans="1:9" x14ac:dyDescent="0.25">
      <c r="A8" s="49" t="s">
        <v>111</v>
      </c>
      <c r="B8" s="50" t="s">
        <v>112</v>
      </c>
      <c r="C8" s="49"/>
      <c r="D8" s="83"/>
      <c r="E8" s="49"/>
      <c r="F8" s="51"/>
      <c r="G8" s="83"/>
      <c r="H8" s="49"/>
      <c r="I8" s="51"/>
    </row>
    <row r="9" spans="1:9" x14ac:dyDescent="0.25">
      <c r="A9" s="49" t="s">
        <v>19</v>
      </c>
      <c r="B9" s="51" t="s">
        <v>20</v>
      </c>
      <c r="C9" s="49"/>
      <c r="D9" s="83"/>
      <c r="E9" s="49" t="s">
        <v>113</v>
      </c>
      <c r="F9" s="51" t="s">
        <v>20</v>
      </c>
      <c r="G9" s="83"/>
      <c r="H9" s="49" t="s">
        <v>114</v>
      </c>
      <c r="I9" s="50" t="s">
        <v>115</v>
      </c>
    </row>
    <row r="10" spans="1:9" x14ac:dyDescent="0.25">
      <c r="A10" s="49" t="s">
        <v>21</v>
      </c>
      <c r="B10" s="50" t="s">
        <v>116</v>
      </c>
      <c r="C10" s="49"/>
      <c r="D10" s="83"/>
      <c r="E10" s="49"/>
      <c r="F10" s="50"/>
      <c r="G10" s="83"/>
      <c r="H10" s="49"/>
      <c r="I10" s="51"/>
    </row>
    <row r="11" spans="1:9" x14ac:dyDescent="0.25">
      <c r="A11" s="49" t="s">
        <v>22</v>
      </c>
      <c r="B11" s="50" t="s">
        <v>117</v>
      </c>
      <c r="C11" s="49"/>
      <c r="D11" s="83"/>
      <c r="E11" s="49"/>
      <c r="F11" s="51"/>
      <c r="G11" s="83"/>
      <c r="H11" s="49"/>
      <c r="I11" s="51"/>
    </row>
    <row r="12" spans="1:9" x14ac:dyDescent="0.25">
      <c r="A12" s="49" t="s">
        <v>23</v>
      </c>
      <c r="B12" s="50" t="s">
        <v>118</v>
      </c>
      <c r="C12" s="49"/>
      <c r="D12" s="83"/>
      <c r="E12" s="49"/>
      <c r="F12" s="51"/>
      <c r="G12" s="83"/>
      <c r="H12" s="49"/>
      <c r="I12" s="51"/>
    </row>
    <row r="13" spans="1:9" x14ac:dyDescent="0.25">
      <c r="A13" s="49" t="s">
        <v>119</v>
      </c>
      <c r="B13" s="50" t="s">
        <v>120</v>
      </c>
      <c r="C13" s="49"/>
      <c r="D13" s="83"/>
      <c r="E13" s="49"/>
      <c r="F13" s="51"/>
      <c r="G13" s="83"/>
      <c r="H13" s="49"/>
      <c r="I13" s="51"/>
    </row>
    <row r="14" spans="1:9" x14ac:dyDescent="0.25">
      <c r="A14" s="49" t="s">
        <v>121</v>
      </c>
      <c r="B14" s="50" t="s">
        <v>122</v>
      </c>
      <c r="C14" s="49"/>
      <c r="D14" s="83"/>
      <c r="E14" s="49"/>
      <c r="F14" s="51"/>
      <c r="G14" s="83"/>
      <c r="H14" s="49"/>
      <c r="I14" s="51"/>
    </row>
    <row r="15" spans="1:9" x14ac:dyDescent="0.25">
      <c r="A15" s="49" t="s">
        <v>24</v>
      </c>
      <c r="B15" s="50" t="s">
        <v>25</v>
      </c>
      <c r="C15" s="49"/>
      <c r="D15" s="83"/>
      <c r="E15" s="49"/>
      <c r="F15" s="51"/>
      <c r="G15" s="83"/>
      <c r="H15" s="49"/>
      <c r="I15" s="51"/>
    </row>
    <row r="16" spans="1:9" x14ac:dyDescent="0.25">
      <c r="A16" s="49" t="s">
        <v>123</v>
      </c>
      <c r="B16" s="50" t="s">
        <v>124</v>
      </c>
      <c r="C16" s="49"/>
      <c r="D16" s="83"/>
      <c r="E16" s="49"/>
      <c r="F16" s="51"/>
      <c r="G16" s="83"/>
      <c r="H16" s="49"/>
      <c r="I16" s="51"/>
    </row>
    <row r="17" spans="1:9" x14ac:dyDescent="0.25">
      <c r="A17" s="49" t="s">
        <v>125</v>
      </c>
      <c r="B17" s="50" t="s">
        <v>126</v>
      </c>
      <c r="C17" s="49"/>
      <c r="D17" s="83"/>
      <c r="E17" s="49"/>
      <c r="F17" s="51"/>
      <c r="G17" s="83"/>
      <c r="H17" s="49"/>
      <c r="I17" s="51"/>
    </row>
    <row r="18" spans="1:9" x14ac:dyDescent="0.25">
      <c r="A18" s="49" t="s">
        <v>26</v>
      </c>
      <c r="B18" s="50" t="s">
        <v>27</v>
      </c>
      <c r="C18" s="49"/>
      <c r="D18" s="83"/>
      <c r="E18" s="49"/>
      <c r="F18" s="51"/>
      <c r="G18" s="83"/>
      <c r="H18" s="49"/>
      <c r="I18" s="51"/>
    </row>
    <row r="19" spans="1:9" x14ac:dyDescent="0.25">
      <c r="A19" s="49" t="s">
        <v>127</v>
      </c>
      <c r="B19" s="50" t="s">
        <v>128</v>
      </c>
      <c r="C19" s="49"/>
      <c r="D19" s="83"/>
      <c r="E19" s="49"/>
      <c r="F19" s="51"/>
      <c r="G19" s="83"/>
      <c r="H19" s="49"/>
      <c r="I19" s="51"/>
    </row>
    <row r="20" spans="1:9" x14ac:dyDescent="0.25">
      <c r="A20" s="49" t="s">
        <v>129</v>
      </c>
      <c r="B20" s="50" t="s">
        <v>130</v>
      </c>
      <c r="C20" s="49"/>
      <c r="D20" s="83"/>
      <c r="E20" s="49"/>
      <c r="F20" s="51"/>
      <c r="G20" s="83"/>
      <c r="H20" s="49"/>
      <c r="I20" s="51"/>
    </row>
    <row r="21" spans="1:9" x14ac:dyDescent="0.25">
      <c r="A21" s="49" t="s">
        <v>131</v>
      </c>
      <c r="B21" s="50" t="s">
        <v>132</v>
      </c>
      <c r="C21" s="49"/>
      <c r="D21" s="83"/>
      <c r="E21" s="49"/>
      <c r="F21" s="51"/>
      <c r="G21" s="83"/>
      <c r="H21" s="49"/>
      <c r="I21" s="51"/>
    </row>
    <row r="22" spans="1:9" x14ac:dyDescent="0.25">
      <c r="A22" s="49" t="s">
        <v>28</v>
      </c>
      <c r="B22" s="50" t="s">
        <v>29</v>
      </c>
      <c r="C22" s="49"/>
      <c r="D22" s="83"/>
      <c r="E22" s="49" t="s">
        <v>133</v>
      </c>
      <c r="F22" s="51" t="s">
        <v>134</v>
      </c>
      <c r="G22" s="83"/>
      <c r="H22" s="49"/>
      <c r="I22" s="51"/>
    </row>
    <row r="23" spans="1:9" x14ac:dyDescent="0.25">
      <c r="A23" s="49" t="s">
        <v>135</v>
      </c>
      <c r="B23" s="50" t="s">
        <v>136</v>
      </c>
      <c r="C23" s="49"/>
      <c r="D23" s="83"/>
      <c r="E23" s="49"/>
      <c r="F23" s="51"/>
      <c r="G23" s="83"/>
      <c r="H23" s="49"/>
      <c r="I23" s="51"/>
    </row>
    <row r="24" spans="1:9" x14ac:dyDescent="0.25">
      <c r="A24" s="49" t="s">
        <v>62</v>
      </c>
      <c r="B24" s="50" t="s">
        <v>137</v>
      </c>
      <c r="C24" s="49"/>
      <c r="D24" s="83"/>
      <c r="E24" s="49"/>
      <c r="F24" s="51"/>
      <c r="G24" s="83"/>
      <c r="H24" s="49"/>
      <c r="I24" s="51"/>
    </row>
    <row r="25" spans="1:9" x14ac:dyDescent="0.25">
      <c r="A25" s="49" t="s">
        <v>64</v>
      </c>
      <c r="B25" s="50" t="s">
        <v>65</v>
      </c>
      <c r="C25" s="49"/>
      <c r="D25" s="83"/>
      <c r="E25" s="49"/>
      <c r="F25" s="51"/>
      <c r="G25" s="83"/>
      <c r="H25" s="49"/>
      <c r="I25" s="51"/>
    </row>
    <row r="26" spans="1:9" x14ac:dyDescent="0.25">
      <c r="A26" s="49" t="s">
        <v>138</v>
      </c>
      <c r="B26" s="50" t="s">
        <v>63</v>
      </c>
      <c r="C26" s="49"/>
      <c r="D26" s="83"/>
      <c r="E26" s="49"/>
      <c r="F26" s="51"/>
      <c r="G26" s="83"/>
      <c r="H26" s="49"/>
      <c r="I26" s="51"/>
    </row>
    <row r="27" spans="1:9" x14ac:dyDescent="0.25">
      <c r="A27" s="49" t="s">
        <v>66</v>
      </c>
      <c r="B27" s="50" t="s">
        <v>139</v>
      </c>
      <c r="C27" s="49"/>
      <c r="D27" s="83"/>
      <c r="E27" s="49"/>
      <c r="F27" s="51"/>
      <c r="G27" s="83"/>
      <c r="H27" s="49"/>
      <c r="I27" s="51"/>
    </row>
    <row r="28" spans="1:9" x14ac:dyDescent="0.25">
      <c r="A28" s="49" t="s">
        <v>140</v>
      </c>
      <c r="B28" s="50" t="s">
        <v>141</v>
      </c>
      <c r="C28" s="49"/>
      <c r="D28" s="83"/>
      <c r="E28" s="49" t="s">
        <v>72</v>
      </c>
      <c r="F28" s="51" t="s">
        <v>142</v>
      </c>
      <c r="G28" s="83"/>
      <c r="H28" s="49" t="s">
        <v>140</v>
      </c>
      <c r="I28" s="51" t="s">
        <v>141</v>
      </c>
    </row>
    <row r="29" spans="1:9" x14ac:dyDescent="0.25">
      <c r="A29" s="49" t="s">
        <v>143</v>
      </c>
      <c r="B29" s="50" t="s">
        <v>144</v>
      </c>
      <c r="C29" s="49"/>
      <c r="D29" s="83"/>
      <c r="E29" s="49"/>
      <c r="F29" s="51"/>
      <c r="G29" s="83"/>
      <c r="H29" s="49"/>
      <c r="I29" s="51"/>
    </row>
    <row r="30" spans="1:9" x14ac:dyDescent="0.25">
      <c r="A30" s="49" t="s">
        <v>49</v>
      </c>
      <c r="B30" s="50" t="s">
        <v>145</v>
      </c>
      <c r="C30" s="49"/>
      <c r="D30" s="83"/>
      <c r="E30" s="49"/>
      <c r="F30" s="51"/>
      <c r="G30" s="83"/>
      <c r="H30" s="49"/>
      <c r="I30" s="51"/>
    </row>
    <row r="31" spans="1:9" x14ac:dyDescent="0.25">
      <c r="A31" s="49" t="s">
        <v>50</v>
      </c>
      <c r="B31" s="50" t="s">
        <v>146</v>
      </c>
      <c r="C31" s="49"/>
      <c r="D31" s="83"/>
      <c r="E31" s="49"/>
      <c r="F31" s="51"/>
      <c r="G31" s="83"/>
      <c r="H31" s="49"/>
      <c r="I31" s="51"/>
    </row>
    <row r="32" spans="1:9" x14ac:dyDescent="0.25">
      <c r="A32" s="49" t="s">
        <v>52</v>
      </c>
      <c r="B32" s="50" t="s">
        <v>53</v>
      </c>
      <c r="C32" s="49"/>
      <c r="D32" s="83"/>
      <c r="E32" s="49"/>
      <c r="F32" s="51"/>
      <c r="G32" s="83"/>
      <c r="H32" s="49"/>
      <c r="I32" s="51"/>
    </row>
    <row r="33" spans="1:9" x14ac:dyDescent="0.25">
      <c r="A33" s="49" t="s">
        <v>54</v>
      </c>
      <c r="B33" s="50" t="s">
        <v>147</v>
      </c>
      <c r="C33" s="49"/>
      <c r="D33" s="83"/>
      <c r="E33" s="49"/>
      <c r="F33" s="51"/>
      <c r="G33" s="83"/>
      <c r="H33" s="49"/>
      <c r="I33" s="51"/>
    </row>
    <row r="34" spans="1:9" x14ac:dyDescent="0.25">
      <c r="A34" s="49" t="s">
        <v>55</v>
      </c>
      <c r="B34" s="50" t="s">
        <v>56</v>
      </c>
      <c r="C34" s="49"/>
      <c r="D34" s="83"/>
      <c r="E34" s="49"/>
      <c r="F34" s="51"/>
      <c r="G34" s="83"/>
      <c r="H34" s="49"/>
      <c r="I34" s="51"/>
    </row>
    <row r="35" spans="1:9" x14ac:dyDescent="0.25">
      <c r="A35" s="49" t="s">
        <v>59</v>
      </c>
      <c r="B35" s="50" t="s">
        <v>60</v>
      </c>
      <c r="C35" s="49"/>
      <c r="D35" s="83"/>
      <c r="E35" s="49"/>
      <c r="F35" s="51"/>
      <c r="G35" s="83"/>
      <c r="H35" s="49"/>
      <c r="I35" s="51"/>
    </row>
    <row r="36" spans="1:9" x14ac:dyDescent="0.25">
      <c r="A36" s="49" t="s">
        <v>148</v>
      </c>
      <c r="B36" s="50" t="s">
        <v>149</v>
      </c>
      <c r="C36" s="49"/>
      <c r="D36" s="83"/>
      <c r="E36" s="49"/>
      <c r="F36" s="51"/>
      <c r="G36" s="83"/>
      <c r="H36" s="49"/>
      <c r="I36" s="51"/>
    </row>
    <row r="37" spans="1:9" x14ac:dyDescent="0.25">
      <c r="A37" s="49" t="s">
        <v>150</v>
      </c>
      <c r="B37" s="50" t="s">
        <v>151</v>
      </c>
      <c r="C37" s="49"/>
      <c r="D37" s="83"/>
      <c r="E37" s="49"/>
      <c r="F37" s="51"/>
      <c r="G37" s="83"/>
      <c r="H37" s="49"/>
      <c r="I37" s="51"/>
    </row>
    <row r="38" spans="1:9" x14ac:dyDescent="0.25">
      <c r="A38" s="49" t="s">
        <v>152</v>
      </c>
      <c r="B38" s="50" t="s">
        <v>51</v>
      </c>
      <c r="C38" s="49"/>
      <c r="D38" s="83"/>
      <c r="E38" s="49"/>
      <c r="F38" s="51"/>
      <c r="G38" s="83"/>
      <c r="H38" s="49"/>
      <c r="I38" s="51"/>
    </row>
    <row r="39" spans="1:9" x14ac:dyDescent="0.25">
      <c r="A39" s="49" t="s">
        <v>153</v>
      </c>
      <c r="B39" s="50" t="s">
        <v>154</v>
      </c>
      <c r="C39" s="49"/>
      <c r="D39" s="83"/>
      <c r="E39" s="49"/>
      <c r="F39" s="51"/>
      <c r="G39" s="83"/>
      <c r="H39" s="49"/>
      <c r="I39" s="51"/>
    </row>
    <row r="40" spans="1:9" x14ac:dyDescent="0.25">
      <c r="A40" s="49" t="s">
        <v>57</v>
      </c>
      <c r="B40" s="50" t="s">
        <v>58</v>
      </c>
      <c r="C40" s="49"/>
      <c r="D40" s="83"/>
      <c r="E40" s="49" t="s">
        <v>155</v>
      </c>
      <c r="F40" s="51" t="s">
        <v>156</v>
      </c>
      <c r="G40" s="83"/>
      <c r="H40" s="49" t="s">
        <v>157</v>
      </c>
      <c r="I40" s="51" t="s">
        <v>158</v>
      </c>
    </row>
    <row r="41" spans="1:9" x14ac:dyDescent="0.25">
      <c r="A41" s="49" t="s">
        <v>61</v>
      </c>
      <c r="B41" s="50" t="s">
        <v>159</v>
      </c>
      <c r="C41" s="49"/>
      <c r="D41" s="83"/>
      <c r="E41" s="49"/>
      <c r="F41" s="51"/>
      <c r="G41" s="83"/>
      <c r="H41" s="49"/>
      <c r="I41" s="51"/>
    </row>
    <row r="42" spans="1:9" x14ac:dyDescent="0.25">
      <c r="A42" s="49" t="s">
        <v>67</v>
      </c>
      <c r="B42" s="50" t="s">
        <v>160</v>
      </c>
      <c r="C42" s="49"/>
      <c r="D42" s="83"/>
      <c r="E42" s="49"/>
      <c r="F42" s="51"/>
      <c r="G42" s="83"/>
      <c r="H42" s="49"/>
      <c r="I42" s="51"/>
    </row>
    <row r="43" spans="1:9" x14ac:dyDescent="0.25">
      <c r="A43" s="49" t="s">
        <v>68</v>
      </c>
      <c r="B43" s="50" t="s">
        <v>69</v>
      </c>
      <c r="C43" s="49"/>
      <c r="D43" s="83"/>
      <c r="E43" s="49"/>
      <c r="F43" s="51"/>
      <c r="G43" s="83"/>
      <c r="H43" s="49"/>
      <c r="I43" s="51"/>
    </row>
    <row r="44" spans="1:9" x14ac:dyDescent="0.25">
      <c r="A44" s="49" t="s">
        <v>161</v>
      </c>
      <c r="B44" s="50" t="s">
        <v>162</v>
      </c>
      <c r="C44" s="49"/>
      <c r="D44" s="83"/>
      <c r="E44" s="49"/>
      <c r="F44" s="51"/>
      <c r="G44" s="83"/>
      <c r="H44" s="49"/>
      <c r="I44" s="51"/>
    </row>
    <row r="45" spans="1:9" x14ac:dyDescent="0.25">
      <c r="A45" s="49" t="s">
        <v>163</v>
      </c>
      <c r="B45" s="50" t="s">
        <v>164</v>
      </c>
      <c r="C45" s="49"/>
      <c r="D45" s="83"/>
      <c r="E45" s="49"/>
      <c r="F45" s="51"/>
      <c r="G45" s="83"/>
      <c r="H45" s="49"/>
      <c r="I45" s="51"/>
    </row>
    <row r="46" spans="1:9" x14ac:dyDescent="0.25">
      <c r="A46" s="49" t="s">
        <v>70</v>
      </c>
      <c r="B46" s="50" t="s">
        <v>165</v>
      </c>
      <c r="C46" s="49"/>
      <c r="D46" s="83"/>
      <c r="E46" s="49"/>
      <c r="F46" s="51"/>
      <c r="G46" s="83"/>
      <c r="H46" s="49"/>
      <c r="I46" s="51"/>
    </row>
    <row r="47" spans="1:9" x14ac:dyDescent="0.25">
      <c r="A47" s="49" t="s">
        <v>71</v>
      </c>
      <c r="B47" s="50" t="s">
        <v>166</v>
      </c>
      <c r="C47" s="49"/>
      <c r="D47" s="83"/>
      <c r="E47" s="49"/>
      <c r="F47" s="51"/>
      <c r="G47" s="83"/>
      <c r="H47" s="49"/>
      <c r="I47" s="51"/>
    </row>
    <row r="48" spans="1:9" x14ac:dyDescent="0.25">
      <c r="A48" s="49" t="s">
        <v>72</v>
      </c>
      <c r="B48" s="50" t="s">
        <v>142</v>
      </c>
      <c r="C48" s="49"/>
      <c r="D48" s="83"/>
      <c r="E48" s="49"/>
      <c r="F48" s="51"/>
      <c r="G48" s="83"/>
      <c r="H48" s="49"/>
      <c r="I48" s="51"/>
    </row>
    <row r="49" spans="1:9" x14ac:dyDescent="0.25">
      <c r="A49" s="49" t="s">
        <v>73</v>
      </c>
      <c r="B49" s="50" t="s">
        <v>167</v>
      </c>
      <c r="C49" s="49"/>
      <c r="D49" s="83"/>
      <c r="E49" s="49"/>
      <c r="F49" s="51"/>
      <c r="G49" s="83"/>
      <c r="H49" s="49"/>
      <c r="I49" s="51"/>
    </row>
    <row r="50" spans="1:9" x14ac:dyDescent="0.25">
      <c r="A50" s="49" t="s">
        <v>74</v>
      </c>
      <c r="B50" s="50" t="s">
        <v>168</v>
      </c>
      <c r="C50" s="49"/>
      <c r="D50" s="83"/>
      <c r="E50" s="49"/>
      <c r="F50" s="51"/>
      <c r="G50" s="83"/>
      <c r="H50" s="49"/>
      <c r="I50" s="51"/>
    </row>
    <row r="51" spans="1:9" x14ac:dyDescent="0.25">
      <c r="A51" s="49" t="s">
        <v>75</v>
      </c>
      <c r="B51" s="50" t="s">
        <v>169</v>
      </c>
      <c r="C51" s="49"/>
      <c r="D51" s="83"/>
      <c r="E51" s="49"/>
      <c r="F51" s="51"/>
      <c r="G51" s="83"/>
      <c r="H51" s="49"/>
      <c r="I51" s="51"/>
    </row>
    <row r="52" spans="1:9" x14ac:dyDescent="0.25">
      <c r="A52" s="49" t="s">
        <v>30</v>
      </c>
      <c r="B52" s="50" t="s">
        <v>170</v>
      </c>
      <c r="C52" s="49"/>
      <c r="D52" s="83"/>
      <c r="E52" s="49" t="s">
        <v>171</v>
      </c>
      <c r="F52" s="51" t="s">
        <v>172</v>
      </c>
      <c r="G52" s="83"/>
      <c r="H52" s="49"/>
      <c r="I52" s="51"/>
    </row>
    <row r="53" spans="1:9" x14ac:dyDescent="0.25">
      <c r="A53" s="49" t="s">
        <v>173</v>
      </c>
      <c r="B53" s="50" t="s">
        <v>174</v>
      </c>
      <c r="C53" s="49"/>
      <c r="D53" s="83"/>
      <c r="E53" s="49"/>
      <c r="F53" s="51"/>
      <c r="G53" s="83"/>
      <c r="H53" s="49"/>
      <c r="I53" s="51"/>
    </row>
    <row r="54" spans="1:9" x14ac:dyDescent="0.25">
      <c r="A54" s="49" t="s">
        <v>175</v>
      </c>
      <c r="B54" s="50" t="s">
        <v>176</v>
      </c>
      <c r="C54" s="49"/>
      <c r="D54" s="83"/>
      <c r="E54" s="49"/>
      <c r="F54" s="51"/>
      <c r="G54" s="83"/>
      <c r="H54" s="49"/>
      <c r="I54" s="51"/>
    </row>
    <row r="55" spans="1:9" x14ac:dyDescent="0.25">
      <c r="A55" s="49" t="s">
        <v>177</v>
      </c>
      <c r="B55" s="50" t="s">
        <v>178</v>
      </c>
      <c r="C55" s="49"/>
      <c r="D55" s="83"/>
      <c r="E55" s="49"/>
      <c r="F55" s="51"/>
      <c r="G55" s="83"/>
      <c r="H55" s="49"/>
      <c r="I55" s="51"/>
    </row>
    <row r="56" spans="1:9" x14ac:dyDescent="0.25">
      <c r="A56" s="49" t="s">
        <v>102</v>
      </c>
      <c r="B56" s="50" t="s">
        <v>179</v>
      </c>
      <c r="C56" s="49"/>
      <c r="D56" s="83"/>
      <c r="E56" s="49"/>
      <c r="F56" s="51"/>
      <c r="G56" s="83"/>
      <c r="H56" s="49"/>
      <c r="I56" s="51"/>
    </row>
    <row r="57" spans="1:9" x14ac:dyDescent="0.25">
      <c r="A57" s="49" t="s">
        <v>180</v>
      </c>
      <c r="B57" s="50" t="s">
        <v>181</v>
      </c>
      <c r="C57" s="49"/>
      <c r="D57" s="83"/>
      <c r="E57" s="49"/>
      <c r="F57" s="51"/>
      <c r="G57" s="83"/>
      <c r="H57" s="49"/>
      <c r="I57" s="51"/>
    </row>
    <row r="58" spans="1:9" x14ac:dyDescent="0.25">
      <c r="A58" s="49" t="s">
        <v>104</v>
      </c>
      <c r="B58" s="50" t="s">
        <v>182</v>
      </c>
      <c r="C58" s="49"/>
      <c r="D58" s="83"/>
      <c r="E58" s="49"/>
      <c r="F58" s="51"/>
      <c r="G58" s="83"/>
      <c r="H58" s="49"/>
      <c r="I58" s="51"/>
    </row>
    <row r="59" spans="1:9" x14ac:dyDescent="0.25">
      <c r="A59" s="49" t="s">
        <v>183</v>
      </c>
      <c r="B59" s="50" t="s">
        <v>184</v>
      </c>
      <c r="C59" s="49"/>
      <c r="D59" s="83"/>
      <c r="E59" s="49"/>
      <c r="F59" s="51"/>
      <c r="G59" s="83"/>
      <c r="H59" s="49"/>
      <c r="I59" s="51"/>
    </row>
    <row r="60" spans="1:9" x14ac:dyDescent="0.25">
      <c r="A60" s="49" t="s">
        <v>185</v>
      </c>
      <c r="B60" s="50" t="s">
        <v>186</v>
      </c>
      <c r="C60" s="49"/>
      <c r="D60" s="83"/>
      <c r="E60" s="49"/>
      <c r="F60" s="51"/>
      <c r="G60" s="83"/>
      <c r="H60" s="49"/>
      <c r="I60" s="51"/>
    </row>
    <row r="61" spans="1:9" x14ac:dyDescent="0.25">
      <c r="A61" s="49" t="s">
        <v>187</v>
      </c>
      <c r="B61" s="50" t="s">
        <v>188</v>
      </c>
      <c r="C61" s="49"/>
      <c r="D61" s="83"/>
      <c r="E61" s="49"/>
      <c r="F61" s="51"/>
      <c r="G61" s="83"/>
      <c r="H61" s="49"/>
      <c r="I61" s="51"/>
    </row>
    <row r="62" spans="1:9" x14ac:dyDescent="0.25">
      <c r="A62" s="49" t="s">
        <v>189</v>
      </c>
      <c r="B62" s="50" t="s">
        <v>190</v>
      </c>
      <c r="C62" s="49"/>
      <c r="D62" s="83"/>
      <c r="E62" s="49"/>
      <c r="F62" s="51"/>
      <c r="G62" s="83"/>
      <c r="H62" s="49"/>
      <c r="I62" s="51"/>
    </row>
    <row r="63" spans="1:9" x14ac:dyDescent="0.25">
      <c r="A63" s="49" t="s">
        <v>191</v>
      </c>
      <c r="B63" s="50" t="s">
        <v>192</v>
      </c>
      <c r="C63" s="49"/>
      <c r="D63" s="83"/>
      <c r="E63" s="49"/>
      <c r="F63" s="51"/>
      <c r="G63" s="83"/>
      <c r="H63" s="49"/>
      <c r="I63" s="51"/>
    </row>
    <row r="64" spans="1:9" x14ac:dyDescent="0.25">
      <c r="A64" s="49" t="s">
        <v>193</v>
      </c>
      <c r="B64" s="50" t="s">
        <v>194</v>
      </c>
      <c r="C64" s="49"/>
      <c r="D64" s="83"/>
      <c r="E64" s="49"/>
      <c r="F64" s="51"/>
      <c r="G64" s="83"/>
      <c r="H64" s="49"/>
      <c r="I64" s="51"/>
    </row>
    <row r="65" spans="1:9" x14ac:dyDescent="0.25">
      <c r="A65" s="49" t="s">
        <v>41</v>
      </c>
      <c r="B65" s="50" t="s">
        <v>195</v>
      </c>
      <c r="C65" s="49"/>
      <c r="D65" s="83"/>
      <c r="E65" s="49"/>
      <c r="F65" s="51"/>
      <c r="G65" s="83"/>
      <c r="H65" s="49"/>
      <c r="I65" s="51"/>
    </row>
    <row r="66" spans="1:9" x14ac:dyDescent="0.25">
      <c r="A66" s="49" t="s">
        <v>46</v>
      </c>
      <c r="B66" s="50" t="s">
        <v>196</v>
      </c>
      <c r="C66" s="49"/>
      <c r="D66" s="83"/>
      <c r="E66" s="49"/>
      <c r="F66" s="51"/>
      <c r="G66" s="83"/>
      <c r="H66" s="49"/>
      <c r="I66" s="51"/>
    </row>
    <row r="67" spans="1:9" x14ac:dyDescent="0.25">
      <c r="A67" s="49" t="s">
        <v>48</v>
      </c>
      <c r="B67" s="50" t="s">
        <v>197</v>
      </c>
      <c r="C67" s="49"/>
      <c r="D67" s="83"/>
      <c r="E67" s="49"/>
      <c r="F67" s="51"/>
      <c r="G67" s="83"/>
      <c r="H67" s="49"/>
      <c r="I67" s="51"/>
    </row>
    <row r="68" spans="1:9" x14ac:dyDescent="0.25">
      <c r="A68" s="49" t="s">
        <v>47</v>
      </c>
      <c r="B68" s="50" t="s">
        <v>198</v>
      </c>
      <c r="C68" s="49"/>
      <c r="D68" s="83"/>
      <c r="E68" s="49"/>
      <c r="F68" s="51"/>
      <c r="G68" s="83"/>
      <c r="H68" s="49"/>
      <c r="I68" s="51"/>
    </row>
    <row r="69" spans="1:9" x14ac:dyDescent="0.25">
      <c r="A69" s="49" t="s">
        <v>42</v>
      </c>
      <c r="B69" s="50" t="s">
        <v>43</v>
      </c>
      <c r="C69" s="49"/>
      <c r="D69" s="83"/>
      <c r="E69" s="49" t="s">
        <v>199</v>
      </c>
      <c r="F69" s="51" t="s">
        <v>200</v>
      </c>
      <c r="G69" s="83"/>
      <c r="H69" s="49"/>
      <c r="I69" s="51"/>
    </row>
    <row r="70" spans="1:9" x14ac:dyDescent="0.25">
      <c r="A70" s="49" t="s">
        <v>44</v>
      </c>
      <c r="B70" s="50" t="s">
        <v>45</v>
      </c>
      <c r="C70" s="49"/>
      <c r="D70" s="83"/>
      <c r="E70" s="49" t="s">
        <v>201</v>
      </c>
      <c r="F70" s="51" t="s">
        <v>202</v>
      </c>
      <c r="G70" s="83"/>
      <c r="H70" s="49"/>
      <c r="I70" s="51"/>
    </row>
    <row r="71" spans="1:9" x14ac:dyDescent="0.25">
      <c r="A71" s="49" t="s">
        <v>203</v>
      </c>
      <c r="B71" s="50" t="s">
        <v>204</v>
      </c>
      <c r="C71" s="49"/>
      <c r="D71" s="83"/>
      <c r="E71" s="49"/>
      <c r="F71" s="51"/>
      <c r="G71" s="83"/>
      <c r="H71" s="49"/>
      <c r="I71" s="51"/>
    </row>
    <row r="72" spans="1:9" x14ac:dyDescent="0.25">
      <c r="A72" s="49" t="s">
        <v>205</v>
      </c>
      <c r="B72" s="50" t="s">
        <v>206</v>
      </c>
      <c r="C72" s="49"/>
      <c r="D72" s="83"/>
      <c r="E72" s="49"/>
      <c r="F72" s="51"/>
      <c r="G72" s="83"/>
      <c r="H72" s="49"/>
      <c r="I72" s="51"/>
    </row>
    <row r="73" spans="1:9" x14ac:dyDescent="0.25">
      <c r="A73" s="49" t="s">
        <v>207</v>
      </c>
      <c r="B73" s="50" t="s">
        <v>208</v>
      </c>
      <c r="C73" s="49"/>
      <c r="D73" s="83"/>
      <c r="E73" s="49" t="s">
        <v>209</v>
      </c>
      <c r="F73" s="51" t="s">
        <v>210</v>
      </c>
      <c r="G73" s="83"/>
      <c r="H73" s="49"/>
      <c r="I73" s="51"/>
    </row>
    <row r="74" spans="1:9" x14ac:dyDescent="0.25">
      <c r="A74" s="49" t="s">
        <v>38</v>
      </c>
      <c r="B74" s="50" t="s">
        <v>39</v>
      </c>
      <c r="C74" s="49"/>
      <c r="D74" s="83"/>
      <c r="E74" s="49" t="s">
        <v>211</v>
      </c>
      <c r="F74" s="51" t="s">
        <v>212</v>
      </c>
      <c r="G74" s="83"/>
      <c r="H74" s="49"/>
      <c r="I74" s="51"/>
    </row>
    <row r="75" spans="1:9" x14ac:dyDescent="0.25">
      <c r="A75" s="49" t="s">
        <v>40</v>
      </c>
      <c r="B75" s="50" t="s">
        <v>213</v>
      </c>
      <c r="C75" s="49"/>
      <c r="D75" s="83"/>
      <c r="E75" s="49"/>
      <c r="F75" s="51"/>
      <c r="G75" s="83"/>
      <c r="H75" s="49"/>
      <c r="I75" s="51"/>
    </row>
    <row r="76" spans="1:9" x14ac:dyDescent="0.25">
      <c r="A76" s="49" t="s">
        <v>77</v>
      </c>
      <c r="B76" s="50" t="s">
        <v>78</v>
      </c>
      <c r="C76" s="49"/>
      <c r="D76" s="83"/>
      <c r="E76" s="49" t="s">
        <v>214</v>
      </c>
      <c r="F76" s="51" t="s">
        <v>215</v>
      </c>
      <c r="G76" s="83"/>
      <c r="H76" s="49" t="s">
        <v>216</v>
      </c>
      <c r="I76" s="51" t="s">
        <v>215</v>
      </c>
    </row>
    <row r="77" spans="1:9" x14ac:dyDescent="0.25">
      <c r="A77" s="49" t="s">
        <v>217</v>
      </c>
      <c r="B77" s="50" t="s">
        <v>39</v>
      </c>
      <c r="C77" s="49"/>
      <c r="D77" s="83"/>
      <c r="E77" s="49" t="s">
        <v>38</v>
      </c>
      <c r="F77" s="51" t="s">
        <v>218</v>
      </c>
      <c r="G77" s="83"/>
      <c r="H77" s="49"/>
      <c r="I77" s="51"/>
    </row>
    <row r="78" spans="1:9" x14ac:dyDescent="0.25">
      <c r="A78" s="49" t="s">
        <v>219</v>
      </c>
      <c r="B78" s="50" t="s">
        <v>220</v>
      </c>
      <c r="C78" s="49"/>
      <c r="D78" s="83"/>
      <c r="E78" s="49"/>
      <c r="F78" s="51"/>
      <c r="G78" s="83"/>
      <c r="H78" s="49"/>
      <c r="I78" s="51"/>
    </row>
    <row r="79" spans="1:9" x14ac:dyDescent="0.25">
      <c r="A79" s="49" t="s">
        <v>221</v>
      </c>
      <c r="B79" s="50" t="s">
        <v>222</v>
      </c>
      <c r="C79" s="49"/>
      <c r="D79" s="83"/>
      <c r="E79" s="49"/>
      <c r="F79" s="51"/>
      <c r="G79" s="83"/>
      <c r="H79" s="49"/>
      <c r="I79" s="51"/>
    </row>
    <row r="80" spans="1:9" x14ac:dyDescent="0.25">
      <c r="A80" s="49" t="s">
        <v>223</v>
      </c>
      <c r="B80" s="50" t="s">
        <v>224</v>
      </c>
      <c r="C80" s="49"/>
      <c r="D80" s="83"/>
      <c r="E80" s="49"/>
      <c r="F80" s="51"/>
      <c r="G80" s="83"/>
      <c r="H80" s="49"/>
      <c r="I80" s="51"/>
    </row>
    <row r="81" spans="1:9" x14ac:dyDescent="0.25">
      <c r="A81" s="49" t="s">
        <v>225</v>
      </c>
      <c r="B81" s="50" t="s">
        <v>226</v>
      </c>
      <c r="C81" s="49"/>
      <c r="D81" s="83"/>
      <c r="E81" s="49"/>
      <c r="F81" s="51"/>
      <c r="G81" s="83"/>
      <c r="H81" s="49"/>
      <c r="I81" s="51"/>
    </row>
    <row r="82" spans="1:9" x14ac:dyDescent="0.25">
      <c r="A82" s="49" t="s">
        <v>227</v>
      </c>
      <c r="B82" s="50" t="s">
        <v>228</v>
      </c>
      <c r="C82" s="49"/>
      <c r="D82" s="83"/>
      <c r="E82" s="49" t="s">
        <v>223</v>
      </c>
      <c r="F82" s="51" t="s">
        <v>229</v>
      </c>
      <c r="G82" s="83"/>
      <c r="H82" s="49"/>
      <c r="I82" s="51"/>
    </row>
    <row r="83" spans="1:9" x14ac:dyDescent="0.25">
      <c r="A83" s="49" t="s">
        <v>230</v>
      </c>
      <c r="B83" s="50" t="s">
        <v>231</v>
      </c>
      <c r="C83" s="49"/>
      <c r="D83" s="83"/>
      <c r="E83" s="49"/>
      <c r="F83" s="51"/>
      <c r="G83" s="83"/>
      <c r="H83" s="49"/>
      <c r="I83" s="51"/>
    </row>
    <row r="84" spans="1:9" x14ac:dyDescent="0.25">
      <c r="A84" s="49" t="s">
        <v>232</v>
      </c>
      <c r="B84" s="50" t="s">
        <v>233</v>
      </c>
      <c r="C84" s="49"/>
      <c r="D84" s="83"/>
      <c r="E84" s="49"/>
      <c r="F84" s="51"/>
      <c r="G84" s="83"/>
      <c r="H84" s="49"/>
      <c r="I84" s="51"/>
    </row>
    <row r="85" spans="1:9" x14ac:dyDescent="0.25">
      <c r="A85" s="49" t="s">
        <v>234</v>
      </c>
      <c r="B85" s="50" t="s">
        <v>235</v>
      </c>
      <c r="C85" s="49"/>
      <c r="D85" s="83"/>
      <c r="E85" s="49" t="s">
        <v>236</v>
      </c>
      <c r="F85" s="51" t="s">
        <v>235</v>
      </c>
      <c r="G85" s="83"/>
      <c r="H85" s="49"/>
      <c r="I85" s="51"/>
    </row>
    <row r="86" spans="1:9" x14ac:dyDescent="0.25">
      <c r="A86" s="49" t="s">
        <v>237</v>
      </c>
      <c r="B86" s="50" t="s">
        <v>238</v>
      </c>
      <c r="C86" s="49"/>
      <c r="D86" s="83"/>
      <c r="E86" s="49"/>
      <c r="F86" s="51"/>
      <c r="G86" s="83"/>
      <c r="H86" s="49"/>
      <c r="I86" s="51"/>
    </row>
    <row r="87" spans="1:9" x14ac:dyDescent="0.25">
      <c r="A87" s="49" t="s">
        <v>239</v>
      </c>
      <c r="B87" s="50" t="s">
        <v>240</v>
      </c>
      <c r="C87" s="49"/>
      <c r="D87" s="83"/>
      <c r="E87" s="49"/>
      <c r="F87" s="51"/>
      <c r="G87" s="83"/>
      <c r="H87" s="49"/>
      <c r="I87" s="51"/>
    </row>
    <row r="88" spans="1:9" x14ac:dyDescent="0.25">
      <c r="A88" s="49" t="s">
        <v>241</v>
      </c>
      <c r="B88" s="50" t="s">
        <v>242</v>
      </c>
      <c r="C88" s="49"/>
      <c r="D88" s="83"/>
      <c r="E88" s="49"/>
      <c r="F88" s="51"/>
      <c r="G88" s="83"/>
      <c r="H88" s="49"/>
      <c r="I88" s="51"/>
    </row>
    <row r="89" spans="1:9" x14ac:dyDescent="0.25">
      <c r="A89" s="49" t="s">
        <v>243</v>
      </c>
      <c r="B89" s="50" t="s">
        <v>244</v>
      </c>
      <c r="C89" s="49"/>
      <c r="D89" s="83"/>
      <c r="E89" s="49"/>
      <c r="F89" s="51"/>
      <c r="G89" s="83"/>
      <c r="H89" s="49"/>
      <c r="I89" s="51"/>
    </row>
    <row r="90" spans="1:9" x14ac:dyDescent="0.25">
      <c r="A90" s="49" t="s">
        <v>245</v>
      </c>
      <c r="B90" s="50" t="s">
        <v>246</v>
      </c>
      <c r="C90" s="49"/>
      <c r="D90" s="83"/>
      <c r="E90" s="49"/>
      <c r="F90" s="51"/>
      <c r="G90" s="83"/>
      <c r="H90" s="49"/>
      <c r="I90" s="51"/>
    </row>
    <row r="91" spans="1:9" x14ac:dyDescent="0.25">
      <c r="A91" s="49" t="s">
        <v>247</v>
      </c>
      <c r="B91" s="50" t="s">
        <v>248</v>
      </c>
      <c r="C91" s="49"/>
      <c r="D91" s="83"/>
      <c r="E91" s="49"/>
      <c r="F91" s="51"/>
      <c r="G91" s="83"/>
      <c r="H91" s="49"/>
      <c r="I91" s="51"/>
    </row>
    <row r="92" spans="1:9" x14ac:dyDescent="0.25">
      <c r="A92" s="49" t="s">
        <v>249</v>
      </c>
      <c r="B92" s="50" t="s">
        <v>250</v>
      </c>
      <c r="C92" s="49"/>
      <c r="D92" s="83"/>
      <c r="E92" s="49" t="s">
        <v>251</v>
      </c>
      <c r="F92" s="51" t="s">
        <v>244</v>
      </c>
      <c r="G92" s="83"/>
      <c r="H92" s="49"/>
      <c r="I92" s="51"/>
    </row>
    <row r="93" spans="1:9" x14ac:dyDescent="0.25">
      <c r="A93" s="49" t="s">
        <v>252</v>
      </c>
      <c r="B93" s="50" t="s">
        <v>253</v>
      </c>
      <c r="C93" s="49"/>
      <c r="D93" s="83"/>
      <c r="E93" s="49" t="s">
        <v>245</v>
      </c>
      <c r="F93" s="51" t="s">
        <v>254</v>
      </c>
      <c r="G93" s="83"/>
      <c r="H93" s="49"/>
      <c r="I93" s="51"/>
    </row>
    <row r="94" spans="1:9" x14ac:dyDescent="0.25">
      <c r="A94" s="49" t="s">
        <v>255</v>
      </c>
      <c r="B94" s="50" t="s">
        <v>256</v>
      </c>
      <c r="C94" s="49"/>
      <c r="D94" s="83"/>
      <c r="E94" s="49"/>
      <c r="F94" s="51"/>
      <c r="G94" s="83"/>
      <c r="H94" s="49"/>
      <c r="I94" s="51"/>
    </row>
    <row r="95" spans="1:9" x14ac:dyDescent="0.25">
      <c r="A95" s="49" t="s">
        <v>257</v>
      </c>
      <c r="B95" s="50" t="s">
        <v>258</v>
      </c>
      <c r="C95" s="49"/>
      <c r="D95" s="83"/>
      <c r="E95" s="49" t="s">
        <v>259</v>
      </c>
      <c r="F95" s="51" t="s">
        <v>258</v>
      </c>
      <c r="G95" s="83"/>
      <c r="H95" s="49"/>
      <c r="I95" s="51"/>
    </row>
    <row r="96" spans="1:9" x14ac:dyDescent="0.25">
      <c r="A96" s="49" t="s">
        <v>260</v>
      </c>
      <c r="B96" s="50" t="s">
        <v>261</v>
      </c>
      <c r="C96" s="49"/>
      <c r="D96" s="83"/>
      <c r="E96" s="49" t="s">
        <v>262</v>
      </c>
      <c r="F96" s="51" t="s">
        <v>263</v>
      </c>
      <c r="G96" s="83"/>
      <c r="H96" s="49"/>
      <c r="I96" s="51"/>
    </row>
    <row r="97" spans="1:9" x14ac:dyDescent="0.25">
      <c r="A97" s="49" t="s">
        <v>264</v>
      </c>
      <c r="B97" s="50" t="s">
        <v>265</v>
      </c>
      <c r="C97" s="49"/>
      <c r="D97" s="83"/>
      <c r="E97" s="49"/>
      <c r="F97" s="51"/>
      <c r="G97" s="83"/>
      <c r="H97" s="49"/>
      <c r="I97" s="51"/>
    </row>
    <row r="98" spans="1:9" x14ac:dyDescent="0.25">
      <c r="A98" s="49" t="s">
        <v>266</v>
      </c>
      <c r="B98" s="50" t="s">
        <v>267</v>
      </c>
      <c r="C98" s="49"/>
      <c r="D98" s="83"/>
      <c r="E98" s="49"/>
      <c r="F98" s="51"/>
      <c r="G98" s="83"/>
      <c r="H98" s="49"/>
      <c r="I98" s="51"/>
    </row>
    <row r="99" spans="1:9" x14ac:dyDescent="0.25">
      <c r="A99" s="49" t="s">
        <v>268</v>
      </c>
      <c r="B99" s="50" t="s">
        <v>269</v>
      </c>
      <c r="C99" s="49"/>
      <c r="D99" s="83"/>
      <c r="E99" s="49"/>
      <c r="F99" s="51"/>
      <c r="G99" s="83"/>
      <c r="H99" s="49"/>
      <c r="I99" s="51"/>
    </row>
    <row r="100" spans="1:9" x14ac:dyDescent="0.25">
      <c r="A100" s="49" t="s">
        <v>270</v>
      </c>
      <c r="B100" s="50" t="s">
        <v>271</v>
      </c>
      <c r="C100" s="49"/>
      <c r="D100" s="83"/>
      <c r="E100" s="49"/>
      <c r="F100" s="51"/>
      <c r="G100" s="83"/>
      <c r="H100" s="49"/>
      <c r="I100" s="51"/>
    </row>
    <row r="101" spans="1:9" x14ac:dyDescent="0.25">
      <c r="A101" s="49" t="s">
        <v>272</v>
      </c>
      <c r="B101" s="50" t="s">
        <v>273</v>
      </c>
      <c r="C101" s="49"/>
      <c r="D101" s="83"/>
      <c r="E101" s="49"/>
      <c r="F101" s="51"/>
      <c r="G101" s="83"/>
      <c r="H101" s="49"/>
      <c r="I101" s="51"/>
    </row>
    <row r="102" spans="1:9" x14ac:dyDescent="0.25">
      <c r="A102" s="49" t="s">
        <v>274</v>
      </c>
      <c r="B102" s="50" t="s">
        <v>275</v>
      </c>
      <c r="C102" s="49"/>
      <c r="D102" s="83"/>
      <c r="E102" s="49"/>
      <c r="F102" s="51"/>
      <c r="G102" s="83"/>
      <c r="H102" s="49"/>
      <c r="I102" s="51"/>
    </row>
    <row r="103" spans="1:9" x14ac:dyDescent="0.25">
      <c r="A103" s="49" t="s">
        <v>276</v>
      </c>
      <c r="B103" s="50" t="s">
        <v>277</v>
      </c>
      <c r="C103" s="49"/>
      <c r="D103" s="83"/>
      <c r="E103" s="49"/>
      <c r="F103" s="51"/>
      <c r="G103" s="83"/>
      <c r="H103" s="49"/>
      <c r="I103" s="51"/>
    </row>
    <row r="104" spans="1:9" x14ac:dyDescent="0.25">
      <c r="A104" s="49" t="s">
        <v>278</v>
      </c>
      <c r="B104" s="50" t="s">
        <v>279</v>
      </c>
      <c r="C104" s="49"/>
      <c r="D104" s="83"/>
      <c r="E104" s="49"/>
      <c r="F104" s="51"/>
      <c r="G104" s="83"/>
      <c r="H104" s="49"/>
      <c r="I104" s="51"/>
    </row>
    <row r="105" spans="1:9" x14ac:dyDescent="0.25">
      <c r="A105" s="49" t="s">
        <v>280</v>
      </c>
      <c r="B105" s="50" t="s">
        <v>281</v>
      </c>
      <c r="C105" s="49"/>
      <c r="D105" s="83"/>
      <c r="E105" s="49"/>
      <c r="F105" s="51"/>
      <c r="G105" s="83"/>
      <c r="H105" s="49"/>
      <c r="I105" s="51"/>
    </row>
    <row r="106" spans="1:9" x14ac:dyDescent="0.25">
      <c r="A106" s="49" t="s">
        <v>282</v>
      </c>
      <c r="B106" s="50" t="s">
        <v>283</v>
      </c>
      <c r="C106" s="49"/>
      <c r="D106" s="83"/>
      <c r="E106" s="49"/>
      <c r="F106" s="51"/>
      <c r="G106" s="83"/>
      <c r="H106" s="49"/>
      <c r="I106" s="51"/>
    </row>
    <row r="107" spans="1:9" x14ac:dyDescent="0.25">
      <c r="A107" s="49" t="s">
        <v>79</v>
      </c>
      <c r="B107" s="50" t="s">
        <v>80</v>
      </c>
      <c r="C107" s="49"/>
      <c r="D107" s="83"/>
      <c r="E107" s="49" t="s">
        <v>284</v>
      </c>
      <c r="F107" s="51" t="s">
        <v>80</v>
      </c>
      <c r="G107" s="83"/>
      <c r="H107" s="49"/>
      <c r="I107" s="51"/>
    </row>
    <row r="108" spans="1:9" x14ac:dyDescent="0.25">
      <c r="A108" s="49" t="s">
        <v>81</v>
      </c>
      <c r="B108" s="50" t="s">
        <v>82</v>
      </c>
      <c r="C108" s="49"/>
      <c r="D108" s="83"/>
      <c r="E108" s="49"/>
      <c r="F108" s="51"/>
      <c r="G108" s="83"/>
      <c r="H108" s="49"/>
      <c r="I108" s="51"/>
    </row>
    <row r="109" spans="1:9" x14ac:dyDescent="0.25">
      <c r="A109" s="49" t="s">
        <v>285</v>
      </c>
      <c r="B109" s="50" t="s">
        <v>286</v>
      </c>
      <c r="C109" s="49"/>
      <c r="D109" s="83"/>
      <c r="E109" s="49"/>
      <c r="F109" s="51"/>
      <c r="G109" s="83"/>
      <c r="H109" s="49"/>
      <c r="I109" s="51"/>
    </row>
    <row r="110" spans="1:9" x14ac:dyDescent="0.25">
      <c r="A110" s="49" t="s">
        <v>287</v>
      </c>
      <c r="B110" s="50" t="s">
        <v>288</v>
      </c>
      <c r="C110" s="49"/>
      <c r="D110" s="83"/>
      <c r="E110" s="49"/>
      <c r="F110" s="51"/>
      <c r="G110" s="83"/>
      <c r="H110" s="49"/>
      <c r="I110" s="51"/>
    </row>
    <row r="111" spans="1:9" x14ac:dyDescent="0.25">
      <c r="A111" s="49" t="s">
        <v>289</v>
      </c>
      <c r="B111" s="50" t="s">
        <v>290</v>
      </c>
      <c r="C111" s="49"/>
      <c r="D111" s="83"/>
      <c r="E111" s="49"/>
      <c r="F111" s="51"/>
      <c r="G111" s="83"/>
      <c r="H111" s="49"/>
      <c r="I111" s="51"/>
    </row>
    <row r="112" spans="1:9" x14ac:dyDescent="0.25">
      <c r="A112" s="49" t="s">
        <v>291</v>
      </c>
      <c r="B112" s="50" t="s">
        <v>292</v>
      </c>
      <c r="C112" s="49"/>
      <c r="D112" s="83"/>
      <c r="E112" s="49"/>
      <c r="F112" s="51"/>
      <c r="G112" s="83"/>
      <c r="H112" s="49"/>
      <c r="I112" s="51"/>
    </row>
    <row r="113" spans="1:9" x14ac:dyDescent="0.25">
      <c r="A113" s="49" t="s">
        <v>293</v>
      </c>
      <c r="B113" s="50" t="s">
        <v>294</v>
      </c>
      <c r="C113" s="49"/>
      <c r="D113" s="83"/>
      <c r="E113" s="49"/>
      <c r="F113" s="51"/>
      <c r="G113" s="83"/>
      <c r="H113" s="49"/>
      <c r="I113" s="51"/>
    </row>
    <row r="114" spans="1:9" x14ac:dyDescent="0.25">
      <c r="A114" s="49" t="s">
        <v>295</v>
      </c>
      <c r="B114" s="50" t="s">
        <v>296</v>
      </c>
      <c r="C114" s="49"/>
      <c r="D114" s="83"/>
      <c r="E114" s="49" t="s">
        <v>297</v>
      </c>
      <c r="F114" s="51" t="s">
        <v>296</v>
      </c>
      <c r="G114" s="83"/>
      <c r="H114" s="49"/>
      <c r="I114" s="51"/>
    </row>
    <row r="115" spans="1:9" x14ac:dyDescent="0.25">
      <c r="A115" s="49" t="s">
        <v>83</v>
      </c>
      <c r="B115" s="50" t="s">
        <v>84</v>
      </c>
      <c r="C115" s="49"/>
      <c r="D115" s="83"/>
      <c r="E115" s="49"/>
      <c r="F115" s="51"/>
      <c r="G115" s="83"/>
      <c r="H115" s="49"/>
      <c r="I115" s="51"/>
    </row>
    <row r="116" spans="1:9" x14ac:dyDescent="0.25">
      <c r="A116" s="49" t="s">
        <v>298</v>
      </c>
      <c r="B116" s="50" t="s">
        <v>299</v>
      </c>
      <c r="C116" s="49"/>
      <c r="D116" s="83"/>
      <c r="E116" s="49"/>
      <c r="F116" s="51"/>
      <c r="G116" s="83"/>
      <c r="H116" s="49"/>
      <c r="I116" s="51"/>
    </row>
    <row r="117" spans="1:9" x14ac:dyDescent="0.25">
      <c r="A117" s="49" t="s">
        <v>300</v>
      </c>
      <c r="B117" s="50" t="s">
        <v>301</v>
      </c>
      <c r="C117" s="49"/>
      <c r="D117" s="83"/>
      <c r="E117" s="49" t="s">
        <v>302</v>
      </c>
      <c r="F117" s="51" t="s">
        <v>303</v>
      </c>
      <c r="G117" s="83"/>
      <c r="H117" s="49" t="s">
        <v>274</v>
      </c>
      <c r="I117" s="51" t="s">
        <v>275</v>
      </c>
    </row>
    <row r="118" spans="1:9" x14ac:dyDescent="0.25">
      <c r="A118" s="49" t="s">
        <v>304</v>
      </c>
      <c r="B118" s="50" t="s">
        <v>305</v>
      </c>
      <c r="C118" s="49"/>
      <c r="D118" s="83"/>
      <c r="E118" s="49" t="s">
        <v>298</v>
      </c>
      <c r="F118" s="51" t="s">
        <v>306</v>
      </c>
      <c r="G118" s="83"/>
      <c r="H118" s="49"/>
      <c r="I118" s="51"/>
    </row>
    <row r="119" spans="1:9" x14ac:dyDescent="0.25">
      <c r="A119" s="49" t="s">
        <v>307</v>
      </c>
      <c r="B119" s="50" t="s">
        <v>308</v>
      </c>
      <c r="C119" s="49"/>
      <c r="D119" s="83"/>
      <c r="E119" s="49"/>
      <c r="F119" s="51"/>
      <c r="G119" s="83"/>
      <c r="H119" s="49"/>
      <c r="I119" s="51"/>
    </row>
    <row r="120" spans="1:9" x14ac:dyDescent="0.25">
      <c r="A120" s="49" t="s">
        <v>309</v>
      </c>
      <c r="B120" s="50" t="s">
        <v>310</v>
      </c>
      <c r="C120" s="49"/>
      <c r="D120" s="83"/>
      <c r="E120" s="49"/>
      <c r="F120" s="51"/>
      <c r="G120" s="83"/>
      <c r="H120" s="49"/>
      <c r="I120" s="51"/>
    </row>
    <row r="121" spans="1:9" x14ac:dyDescent="0.25">
      <c r="A121" s="49" t="s">
        <v>311</v>
      </c>
      <c r="B121" s="50" t="s">
        <v>312</v>
      </c>
      <c r="C121" s="49"/>
      <c r="D121" s="83"/>
      <c r="E121" s="49"/>
      <c r="F121" s="51"/>
      <c r="G121" s="83"/>
      <c r="H121" s="49"/>
      <c r="I121" s="51"/>
    </row>
    <row r="122" spans="1:9" x14ac:dyDescent="0.25">
      <c r="A122" s="49" t="s">
        <v>313</v>
      </c>
      <c r="B122" s="50" t="s">
        <v>314</v>
      </c>
      <c r="C122" s="49"/>
      <c r="D122" s="83"/>
      <c r="E122" s="49"/>
      <c r="F122" s="51"/>
      <c r="G122" s="83"/>
      <c r="H122" s="49"/>
      <c r="I122" s="51"/>
    </row>
    <row r="123" spans="1:9" x14ac:dyDescent="0.25">
      <c r="A123" s="49" t="s">
        <v>302</v>
      </c>
      <c r="B123" s="50" t="s">
        <v>301</v>
      </c>
      <c r="C123" s="49"/>
      <c r="D123" s="83"/>
      <c r="E123" s="49"/>
      <c r="F123" s="51"/>
      <c r="G123" s="83"/>
      <c r="H123" s="49"/>
      <c r="I123" s="51"/>
    </row>
    <row r="124" spans="1:9" x14ac:dyDescent="0.25">
      <c r="A124" s="49" t="s">
        <v>85</v>
      </c>
      <c r="B124" s="50" t="s">
        <v>86</v>
      </c>
      <c r="C124" s="49"/>
      <c r="D124" s="83"/>
      <c r="E124" s="49"/>
      <c r="F124" s="51"/>
      <c r="G124" s="83"/>
      <c r="H124" s="49"/>
      <c r="I124" s="51"/>
    </row>
    <row r="125" spans="1:9" x14ac:dyDescent="0.25">
      <c r="A125" s="49" t="s">
        <v>315</v>
      </c>
      <c r="B125" s="50" t="s">
        <v>316</v>
      </c>
      <c r="C125" s="49"/>
      <c r="D125" s="83"/>
      <c r="E125" s="49"/>
      <c r="F125" s="51"/>
      <c r="G125" s="83"/>
      <c r="H125" s="49"/>
      <c r="I125" s="51"/>
    </row>
    <row r="126" spans="1:9" x14ac:dyDescent="0.25">
      <c r="A126" s="49" t="s">
        <v>317</v>
      </c>
      <c r="B126" s="50" t="s">
        <v>318</v>
      </c>
      <c r="C126" s="49"/>
      <c r="D126" s="83"/>
      <c r="E126" s="49"/>
      <c r="F126" s="51"/>
      <c r="G126" s="83"/>
      <c r="H126" s="49"/>
      <c r="I126" s="51"/>
    </row>
    <row r="127" spans="1:9" x14ac:dyDescent="0.25">
      <c r="A127" s="49" t="s">
        <v>319</v>
      </c>
      <c r="B127" s="50" t="s">
        <v>320</v>
      </c>
      <c r="C127" s="49"/>
      <c r="D127" s="83"/>
      <c r="E127" s="49"/>
      <c r="F127" s="51"/>
      <c r="G127" s="83"/>
      <c r="H127" s="49"/>
      <c r="I127" s="51"/>
    </row>
    <row r="128" spans="1:9" x14ac:dyDescent="0.25">
      <c r="A128" s="49" t="s">
        <v>321</v>
      </c>
      <c r="B128" s="50" t="s">
        <v>322</v>
      </c>
      <c r="C128" s="49"/>
      <c r="D128" s="83"/>
      <c r="E128" s="49"/>
      <c r="F128" s="51"/>
      <c r="G128" s="83"/>
      <c r="H128" s="49"/>
      <c r="I128" s="51"/>
    </row>
    <row r="129" spans="1:9" x14ac:dyDescent="0.25">
      <c r="A129" s="49" t="s">
        <v>323</v>
      </c>
      <c r="B129" s="50" t="s">
        <v>324</v>
      </c>
      <c r="C129" s="49"/>
      <c r="D129" s="83"/>
      <c r="E129" s="49"/>
      <c r="F129" s="51"/>
      <c r="G129" s="83"/>
      <c r="H129" s="49"/>
      <c r="I129" s="51"/>
    </row>
    <row r="130" spans="1:9" x14ac:dyDescent="0.25">
      <c r="A130" s="49" t="s">
        <v>325</v>
      </c>
      <c r="B130" s="50" t="s">
        <v>326</v>
      </c>
      <c r="C130" s="49"/>
      <c r="D130" s="83"/>
      <c r="E130" s="49"/>
      <c r="F130" s="51"/>
      <c r="G130" s="83"/>
      <c r="H130" s="49"/>
      <c r="I130" s="51"/>
    </row>
    <row r="131" spans="1:9" x14ac:dyDescent="0.25">
      <c r="A131" s="49" t="s">
        <v>327</v>
      </c>
      <c r="B131" s="50" t="s">
        <v>328</v>
      </c>
      <c r="C131" s="49"/>
      <c r="D131" s="83"/>
      <c r="E131" s="49"/>
      <c r="F131" s="51"/>
      <c r="G131" s="83"/>
      <c r="H131" s="49"/>
      <c r="I131" s="51"/>
    </row>
    <row r="132" spans="1:9" x14ac:dyDescent="0.25">
      <c r="A132" s="49" t="s">
        <v>329</v>
      </c>
      <c r="B132" s="50" t="s">
        <v>330</v>
      </c>
      <c r="C132" s="49"/>
      <c r="D132" s="83"/>
      <c r="E132" s="49"/>
      <c r="F132" s="51"/>
      <c r="G132" s="83"/>
      <c r="H132" s="49"/>
      <c r="I132" s="51"/>
    </row>
    <row r="133" spans="1:9" x14ac:dyDescent="0.25">
      <c r="A133" s="49" t="s">
        <v>331</v>
      </c>
      <c r="B133" s="50" t="s">
        <v>332</v>
      </c>
      <c r="C133" s="49"/>
      <c r="D133" s="83"/>
      <c r="E133" s="49"/>
      <c r="F133" s="51"/>
      <c r="G133" s="83"/>
      <c r="H133" s="49"/>
      <c r="I133" s="51"/>
    </row>
    <row r="134" spans="1:9" x14ac:dyDescent="0.25">
      <c r="A134" s="49" t="s">
        <v>333</v>
      </c>
      <c r="B134" s="50" t="s">
        <v>334</v>
      </c>
      <c r="C134" s="49"/>
      <c r="D134" s="83"/>
      <c r="E134" s="49"/>
      <c r="F134" s="51"/>
      <c r="G134" s="83"/>
      <c r="H134" s="49"/>
      <c r="I134" s="51"/>
    </row>
    <row r="135" spans="1:9" x14ac:dyDescent="0.25">
      <c r="A135" s="49" t="s">
        <v>335</v>
      </c>
      <c r="B135" s="50" t="s">
        <v>336</v>
      </c>
      <c r="C135" s="49"/>
      <c r="D135" s="83"/>
      <c r="E135" s="49"/>
      <c r="F135" s="51"/>
      <c r="G135" s="83"/>
      <c r="H135" s="49"/>
      <c r="I135" s="51"/>
    </row>
    <row r="136" spans="1:9" x14ac:dyDescent="0.25">
      <c r="A136" s="49" t="s">
        <v>337</v>
      </c>
      <c r="B136" s="50" t="s">
        <v>338</v>
      </c>
      <c r="C136" s="49"/>
      <c r="D136" s="83"/>
      <c r="E136" s="49"/>
      <c r="F136" s="51"/>
      <c r="G136" s="83"/>
      <c r="H136" s="49"/>
      <c r="I136" s="51"/>
    </row>
    <row r="137" spans="1:9" x14ac:dyDescent="0.25">
      <c r="A137" s="49" t="s">
        <v>339</v>
      </c>
      <c r="B137" s="50" t="s">
        <v>340</v>
      </c>
      <c r="C137" s="49"/>
      <c r="D137" s="83"/>
      <c r="E137" s="49"/>
      <c r="F137" s="51"/>
      <c r="G137" s="83"/>
      <c r="H137" s="49"/>
      <c r="I137" s="51"/>
    </row>
    <row r="138" spans="1:9" x14ac:dyDescent="0.25">
      <c r="A138" s="49" t="s">
        <v>341</v>
      </c>
      <c r="B138" s="50" t="s">
        <v>342</v>
      </c>
      <c r="C138" s="49"/>
      <c r="D138" s="83"/>
      <c r="E138" s="49"/>
      <c r="F138" s="51"/>
      <c r="G138" s="83"/>
      <c r="H138" s="49"/>
      <c r="I138" s="51"/>
    </row>
    <row r="139" spans="1:9" x14ac:dyDescent="0.25">
      <c r="A139" s="49" t="s">
        <v>343</v>
      </c>
      <c r="B139" s="50" t="s">
        <v>344</v>
      </c>
      <c r="C139" s="49"/>
      <c r="D139" s="83"/>
      <c r="E139" s="49"/>
      <c r="F139" s="51"/>
      <c r="G139" s="83"/>
      <c r="H139" s="49"/>
      <c r="I139" s="51"/>
    </row>
    <row r="140" spans="1:9" x14ac:dyDescent="0.25">
      <c r="A140" s="49" t="s">
        <v>345</v>
      </c>
      <c r="B140" s="50" t="s">
        <v>346</v>
      </c>
      <c r="C140" s="49"/>
      <c r="D140" s="83"/>
      <c r="E140" s="49"/>
      <c r="F140" s="51"/>
      <c r="G140" s="83"/>
      <c r="H140" s="49"/>
      <c r="I140" s="51"/>
    </row>
    <row r="141" spans="1:9" x14ac:dyDescent="0.25">
      <c r="A141" s="49" t="s">
        <v>347</v>
      </c>
      <c r="B141" s="50" t="s">
        <v>348</v>
      </c>
      <c r="C141" s="49"/>
      <c r="D141" s="83"/>
      <c r="E141" s="49"/>
      <c r="F141" s="51"/>
      <c r="G141" s="83"/>
      <c r="H141" s="49"/>
      <c r="I141" s="51"/>
    </row>
    <row r="142" spans="1:9" x14ac:dyDescent="0.25">
      <c r="A142" s="49" t="s">
        <v>349</v>
      </c>
      <c r="B142" s="50" t="s">
        <v>350</v>
      </c>
      <c r="C142" s="49"/>
      <c r="D142" s="83"/>
      <c r="E142" s="49"/>
      <c r="F142" s="51"/>
      <c r="G142" s="83"/>
      <c r="H142" s="49"/>
      <c r="I142" s="51"/>
    </row>
    <row r="143" spans="1:9" x14ac:dyDescent="0.25">
      <c r="A143" s="49" t="s">
        <v>351</v>
      </c>
      <c r="B143" s="50" t="s">
        <v>352</v>
      </c>
      <c r="C143" s="49"/>
      <c r="D143" s="83"/>
      <c r="E143" s="49"/>
      <c r="F143" s="51"/>
      <c r="G143" s="83"/>
      <c r="H143" s="49"/>
      <c r="I143" s="51"/>
    </row>
    <row r="144" spans="1:9" x14ac:dyDescent="0.25">
      <c r="A144" s="49" t="s">
        <v>353</v>
      </c>
      <c r="B144" s="50" t="s">
        <v>354</v>
      </c>
      <c r="C144" s="49"/>
      <c r="D144" s="83"/>
      <c r="E144" s="49"/>
      <c r="F144" s="51"/>
      <c r="G144" s="83"/>
      <c r="H144" s="49"/>
      <c r="I144" s="51"/>
    </row>
    <row r="145" spans="1:9" x14ac:dyDescent="0.25">
      <c r="A145" s="49" t="s">
        <v>87</v>
      </c>
      <c r="B145" s="50" t="s">
        <v>355</v>
      </c>
      <c r="C145" s="49"/>
      <c r="D145" s="83"/>
      <c r="E145" s="49" t="s">
        <v>343</v>
      </c>
      <c r="F145" s="51" t="s">
        <v>344</v>
      </c>
      <c r="G145" s="83"/>
      <c r="H145" s="49" t="s">
        <v>341</v>
      </c>
      <c r="I145" s="51" t="s">
        <v>342</v>
      </c>
    </row>
    <row r="146" spans="1:9" x14ac:dyDescent="0.25">
      <c r="A146" s="49" t="s">
        <v>88</v>
      </c>
      <c r="B146" s="50" t="s">
        <v>356</v>
      </c>
      <c r="C146" s="49"/>
      <c r="D146" s="83"/>
      <c r="E146" s="49"/>
      <c r="F146" s="51"/>
      <c r="G146" s="83"/>
      <c r="H146" s="49"/>
      <c r="I146" s="51"/>
    </row>
    <row r="147" spans="1:9" x14ac:dyDescent="0.25">
      <c r="A147" s="49" t="s">
        <v>89</v>
      </c>
      <c r="B147" s="50" t="s">
        <v>357</v>
      </c>
      <c r="C147" s="49"/>
      <c r="D147" s="83"/>
      <c r="E147" s="49" t="s">
        <v>358</v>
      </c>
      <c r="F147" s="51" t="s">
        <v>359</v>
      </c>
      <c r="G147" s="83"/>
      <c r="H147" s="49"/>
      <c r="I147" s="51"/>
    </row>
    <row r="148" spans="1:9" x14ac:dyDescent="0.25">
      <c r="A148" s="49" t="s">
        <v>360</v>
      </c>
      <c r="B148" s="50" t="s">
        <v>359</v>
      </c>
      <c r="C148" s="49"/>
      <c r="D148" s="83"/>
      <c r="E148" s="49" t="s">
        <v>361</v>
      </c>
      <c r="F148" s="51" t="s">
        <v>362</v>
      </c>
      <c r="G148" s="83"/>
      <c r="H148" s="49"/>
      <c r="I148" s="51"/>
    </row>
    <row r="149" spans="1:9" x14ac:dyDescent="0.25">
      <c r="A149" s="49" t="s">
        <v>90</v>
      </c>
      <c r="B149" s="50" t="s">
        <v>363</v>
      </c>
      <c r="C149" s="49"/>
      <c r="D149" s="83"/>
      <c r="E149" s="49"/>
      <c r="F149" s="51"/>
      <c r="G149" s="83"/>
      <c r="H149" s="49"/>
      <c r="I149" s="51"/>
    </row>
    <row r="150" spans="1:9" x14ac:dyDescent="0.25">
      <c r="A150" s="49" t="s">
        <v>91</v>
      </c>
      <c r="B150" s="50" t="s">
        <v>364</v>
      </c>
      <c r="C150" s="49"/>
      <c r="D150" s="83"/>
      <c r="E150" s="49" t="s">
        <v>321</v>
      </c>
      <c r="F150" s="51" t="s">
        <v>322</v>
      </c>
      <c r="G150" s="83"/>
      <c r="H150" s="49"/>
      <c r="I150" s="51"/>
    </row>
    <row r="151" spans="1:9" x14ac:dyDescent="0.25">
      <c r="A151" s="49" t="s">
        <v>92</v>
      </c>
      <c r="B151" s="50" t="s">
        <v>365</v>
      </c>
      <c r="C151" s="49"/>
      <c r="D151" s="83"/>
      <c r="E151" s="49" t="s">
        <v>315</v>
      </c>
      <c r="F151" s="51" t="s">
        <v>316</v>
      </c>
      <c r="G151" s="83"/>
      <c r="H151" s="49"/>
      <c r="I151" s="51"/>
    </row>
    <row r="152" spans="1:9" x14ac:dyDescent="0.25">
      <c r="A152" s="49" t="s">
        <v>541</v>
      </c>
      <c r="B152" s="50" t="s">
        <v>551</v>
      </c>
      <c r="C152" s="49"/>
      <c r="D152" s="83"/>
      <c r="E152" s="49"/>
      <c r="F152" s="51"/>
      <c r="G152" s="83"/>
      <c r="H152" s="49"/>
      <c r="I152" s="51"/>
    </row>
    <row r="153" spans="1:9" x14ac:dyDescent="0.25">
      <c r="A153" s="49" t="s">
        <v>538</v>
      </c>
      <c r="B153" s="50" t="s">
        <v>559</v>
      </c>
      <c r="C153" s="49"/>
      <c r="D153" s="83"/>
      <c r="E153" s="49"/>
      <c r="F153" s="51"/>
      <c r="G153" s="83"/>
      <c r="H153" s="49"/>
      <c r="I153" s="51"/>
    </row>
    <row r="154" spans="1:9" x14ac:dyDescent="0.25">
      <c r="A154" s="49" t="s">
        <v>368</v>
      </c>
      <c r="B154" s="50" t="s">
        <v>369</v>
      </c>
      <c r="C154" s="49"/>
      <c r="D154" s="83"/>
      <c r="E154" s="49"/>
      <c r="F154" s="51"/>
      <c r="G154" s="83"/>
      <c r="H154" s="49"/>
      <c r="I154" s="51"/>
    </row>
    <row r="155" spans="1:9" x14ac:dyDescent="0.25">
      <c r="A155" s="49" t="s">
        <v>370</v>
      </c>
      <c r="B155" s="50" t="s">
        <v>371</v>
      </c>
      <c r="C155" s="49"/>
      <c r="D155" s="83"/>
      <c r="E155" s="49"/>
      <c r="F155" s="51"/>
      <c r="G155" s="83"/>
      <c r="H155" s="49"/>
      <c r="I155" s="51"/>
    </row>
    <row r="156" spans="1:9" x14ac:dyDescent="0.25">
      <c r="A156" s="49" t="s">
        <v>372</v>
      </c>
      <c r="B156" s="50" t="s">
        <v>373</v>
      </c>
      <c r="C156" s="49"/>
      <c r="D156" s="83"/>
      <c r="E156" s="49"/>
      <c r="F156" s="51"/>
      <c r="G156" s="83"/>
      <c r="H156" s="49"/>
      <c r="I156" s="51"/>
    </row>
    <row r="157" spans="1:9" x14ac:dyDescent="0.25">
      <c r="A157" s="49" t="s">
        <v>374</v>
      </c>
      <c r="B157" s="50" t="s">
        <v>375</v>
      </c>
      <c r="C157" s="49"/>
      <c r="D157" s="83"/>
      <c r="E157" s="49"/>
      <c r="F157" s="51"/>
      <c r="G157" s="83"/>
      <c r="H157" s="49"/>
      <c r="I157" s="51"/>
    </row>
    <row r="158" spans="1:9" x14ac:dyDescent="0.25">
      <c r="A158" s="49" t="s">
        <v>376</v>
      </c>
      <c r="B158" s="50" t="s">
        <v>377</v>
      </c>
      <c r="C158" s="49"/>
      <c r="D158" s="83"/>
      <c r="E158" s="49"/>
      <c r="F158" s="51"/>
      <c r="G158" s="83"/>
      <c r="H158" s="49"/>
      <c r="I158" s="51"/>
    </row>
    <row r="159" spans="1:9" x14ac:dyDescent="0.25">
      <c r="A159" s="49" t="s">
        <v>378</v>
      </c>
      <c r="B159" s="50" t="s">
        <v>379</v>
      </c>
      <c r="C159" s="49"/>
      <c r="D159" s="83"/>
      <c r="E159" s="49"/>
      <c r="F159" s="51"/>
      <c r="G159" s="83"/>
      <c r="H159" s="49"/>
      <c r="I159" s="51"/>
    </row>
    <row r="160" spans="1:9" x14ac:dyDescent="0.25">
      <c r="A160" s="49" t="s">
        <v>380</v>
      </c>
      <c r="B160" s="50" t="s">
        <v>381</v>
      </c>
      <c r="C160" s="49"/>
      <c r="D160" s="83"/>
      <c r="E160" s="49"/>
      <c r="F160" s="51"/>
      <c r="G160" s="83"/>
      <c r="H160" s="49"/>
      <c r="I160" s="51"/>
    </row>
    <row r="161" spans="1:9" x14ac:dyDescent="0.25">
      <c r="A161" s="49" t="s">
        <v>382</v>
      </c>
      <c r="B161" s="50" t="s">
        <v>383</v>
      </c>
      <c r="C161" s="49"/>
      <c r="D161" s="83"/>
      <c r="E161" s="49"/>
      <c r="F161" s="51"/>
      <c r="G161" s="83"/>
      <c r="H161" s="49"/>
      <c r="I161" s="51"/>
    </row>
    <row r="162" spans="1:9" x14ac:dyDescent="0.25">
      <c r="A162" s="49" t="s">
        <v>384</v>
      </c>
      <c r="B162" s="50" t="s">
        <v>385</v>
      </c>
      <c r="C162" s="49"/>
      <c r="D162" s="83"/>
      <c r="E162" s="49" t="s">
        <v>386</v>
      </c>
      <c r="F162" s="51" t="s">
        <v>387</v>
      </c>
      <c r="G162" s="83"/>
      <c r="H162" s="49"/>
      <c r="I162" s="51"/>
    </row>
    <row r="163" spans="1:9" x14ac:dyDescent="0.25">
      <c r="A163" s="49" t="s">
        <v>388</v>
      </c>
      <c r="B163" s="50" t="s">
        <v>389</v>
      </c>
      <c r="C163" s="49"/>
      <c r="D163" s="83"/>
      <c r="E163" s="49"/>
      <c r="F163" s="51"/>
      <c r="G163" s="83"/>
      <c r="H163" s="49"/>
      <c r="I163" s="51"/>
    </row>
    <row r="164" spans="1:9" x14ac:dyDescent="0.25">
      <c r="A164" s="49" t="s">
        <v>390</v>
      </c>
      <c r="B164" s="50" t="s">
        <v>391</v>
      </c>
      <c r="C164" s="49"/>
      <c r="D164" s="83"/>
      <c r="E164" s="49"/>
      <c r="F164" s="51"/>
      <c r="G164" s="83"/>
      <c r="H164" s="49"/>
      <c r="I164" s="51"/>
    </row>
    <row r="165" spans="1:9" x14ac:dyDescent="0.25">
      <c r="A165" s="49" t="s">
        <v>392</v>
      </c>
      <c r="B165" s="50" t="s">
        <v>393</v>
      </c>
      <c r="C165" s="49"/>
      <c r="D165" s="83"/>
      <c r="E165" s="49"/>
      <c r="F165" s="51"/>
      <c r="G165" s="83"/>
      <c r="H165" s="49"/>
      <c r="I165" s="51"/>
    </row>
    <row r="166" spans="1:9" x14ac:dyDescent="0.25">
      <c r="A166" s="49" t="s">
        <v>394</v>
      </c>
      <c r="B166" s="50" t="s">
        <v>395</v>
      </c>
      <c r="C166" s="49"/>
      <c r="D166" s="83"/>
      <c r="E166" s="49"/>
      <c r="F166" s="51"/>
      <c r="G166" s="83"/>
      <c r="H166" s="49"/>
      <c r="I166" s="51"/>
    </row>
    <row r="167" spans="1:9" x14ac:dyDescent="0.25">
      <c r="A167" s="49" t="s">
        <v>396</v>
      </c>
      <c r="B167" s="50" t="s">
        <v>397</v>
      </c>
      <c r="C167" s="49"/>
      <c r="D167" s="83"/>
      <c r="E167" s="49"/>
      <c r="F167" s="51"/>
      <c r="G167" s="83"/>
      <c r="H167" s="49"/>
      <c r="I167" s="51"/>
    </row>
    <row r="168" spans="1:9" x14ac:dyDescent="0.25">
      <c r="A168" s="49" t="s">
        <v>398</v>
      </c>
      <c r="B168" s="50" t="s">
        <v>399</v>
      </c>
      <c r="C168" s="49"/>
      <c r="D168" s="83"/>
      <c r="E168" s="49"/>
      <c r="F168" s="51"/>
      <c r="G168" s="83"/>
      <c r="H168" s="49"/>
      <c r="I168" s="51"/>
    </row>
    <row r="169" spans="1:9" x14ac:dyDescent="0.25">
      <c r="A169" s="49" t="s">
        <v>400</v>
      </c>
      <c r="B169" s="50" t="s">
        <v>401</v>
      </c>
      <c r="C169" s="49"/>
      <c r="D169" s="83"/>
      <c r="E169" s="49"/>
      <c r="F169" s="51"/>
      <c r="G169" s="83"/>
      <c r="H169" s="49"/>
      <c r="I169" s="51"/>
    </row>
    <row r="170" spans="1:9" x14ac:dyDescent="0.25">
      <c r="A170" s="49" t="s">
        <v>402</v>
      </c>
      <c r="B170" s="50" t="s">
        <v>403</v>
      </c>
      <c r="C170" s="49"/>
      <c r="D170" s="83"/>
      <c r="E170" s="49"/>
      <c r="F170" s="51"/>
      <c r="G170" s="83"/>
      <c r="H170" s="49"/>
      <c r="I170" s="51"/>
    </row>
    <row r="171" spans="1:9" x14ac:dyDescent="0.25">
      <c r="A171" s="49" t="s">
        <v>404</v>
      </c>
      <c r="B171" s="50" t="s">
        <v>405</v>
      </c>
      <c r="C171" s="49"/>
      <c r="D171" s="83"/>
      <c r="E171" s="49" t="s">
        <v>406</v>
      </c>
      <c r="F171" s="51" t="s">
        <v>407</v>
      </c>
      <c r="G171" s="83"/>
      <c r="H171" s="49" t="s">
        <v>408</v>
      </c>
      <c r="I171" s="51" t="s">
        <v>405</v>
      </c>
    </row>
    <row r="172" spans="1:9" x14ac:dyDescent="0.25">
      <c r="A172" s="49" t="s">
        <v>409</v>
      </c>
      <c r="B172" s="50" t="s">
        <v>410</v>
      </c>
      <c r="C172" s="49"/>
      <c r="D172" s="83"/>
      <c r="E172" s="49" t="s">
        <v>411</v>
      </c>
      <c r="F172" s="51" t="s">
        <v>410</v>
      </c>
      <c r="G172" s="83"/>
      <c r="H172" s="49"/>
      <c r="I172" s="51"/>
    </row>
    <row r="173" spans="1:9" x14ac:dyDescent="0.25">
      <c r="A173" s="49" t="s">
        <v>412</v>
      </c>
      <c r="B173" s="50" t="s">
        <v>413</v>
      </c>
      <c r="C173" s="49"/>
      <c r="D173" s="83"/>
      <c r="E173" s="49"/>
      <c r="F173" s="51"/>
      <c r="G173" s="83"/>
      <c r="H173" s="49"/>
      <c r="I173" s="51"/>
    </row>
    <row r="174" spans="1:9" x14ac:dyDescent="0.25">
      <c r="A174" s="49" t="s">
        <v>414</v>
      </c>
      <c r="B174" s="50" t="s">
        <v>415</v>
      </c>
      <c r="C174" s="49"/>
      <c r="D174" s="83"/>
      <c r="E174" s="49" t="s">
        <v>416</v>
      </c>
      <c r="F174" s="51" t="s">
        <v>415</v>
      </c>
      <c r="G174" s="83"/>
      <c r="H174" s="49"/>
      <c r="I174" s="51"/>
    </row>
    <row r="175" spans="1:9" x14ac:dyDescent="0.25">
      <c r="A175" s="49" t="s">
        <v>417</v>
      </c>
      <c r="B175" s="50" t="s">
        <v>418</v>
      </c>
      <c r="C175" s="49"/>
      <c r="D175" s="83"/>
      <c r="E175" s="49" t="s">
        <v>419</v>
      </c>
      <c r="F175" s="51" t="s">
        <v>418</v>
      </c>
      <c r="G175" s="83"/>
      <c r="H175" s="49"/>
      <c r="I175" s="51"/>
    </row>
    <row r="176" spans="1:9" x14ac:dyDescent="0.25">
      <c r="A176" s="49" t="s">
        <v>420</v>
      </c>
      <c r="B176" s="50" t="s">
        <v>421</v>
      </c>
      <c r="C176" s="49"/>
      <c r="D176" s="83"/>
      <c r="E176" s="49" t="s">
        <v>422</v>
      </c>
      <c r="F176" s="51" t="s">
        <v>423</v>
      </c>
      <c r="G176" s="83"/>
      <c r="H176" s="49"/>
      <c r="I176" s="51"/>
    </row>
    <row r="177" spans="1:9" x14ac:dyDescent="0.25">
      <c r="A177" s="49" t="s">
        <v>424</v>
      </c>
      <c r="B177" s="50" t="s">
        <v>425</v>
      </c>
      <c r="C177" s="49"/>
      <c r="D177" s="83"/>
      <c r="E177" s="49"/>
      <c r="F177" s="51"/>
      <c r="G177" s="83"/>
      <c r="H177" s="49"/>
      <c r="I177" s="51"/>
    </row>
    <row r="178" spans="1:9" x14ac:dyDescent="0.25">
      <c r="A178" s="49" t="s">
        <v>426</v>
      </c>
      <c r="B178" s="50" t="s">
        <v>427</v>
      </c>
      <c r="C178" s="49"/>
      <c r="D178" s="83"/>
      <c r="E178" s="49"/>
      <c r="F178" s="51"/>
      <c r="G178" s="83"/>
      <c r="H178" s="49"/>
      <c r="I178" s="51"/>
    </row>
    <row r="179" spans="1:9" x14ac:dyDescent="0.25">
      <c r="A179" s="49" t="s">
        <v>428</v>
      </c>
      <c r="B179" s="50" t="s">
        <v>429</v>
      </c>
      <c r="C179" s="49"/>
      <c r="D179" s="83"/>
      <c r="E179" s="49"/>
      <c r="F179" s="51"/>
      <c r="G179" s="83"/>
      <c r="H179" s="49"/>
      <c r="I179" s="51"/>
    </row>
    <row r="180" spans="1:9" x14ac:dyDescent="0.25">
      <c r="A180" s="49" t="s">
        <v>430</v>
      </c>
      <c r="B180" s="50" t="s">
        <v>431</v>
      </c>
      <c r="C180" s="49"/>
      <c r="D180" s="83"/>
      <c r="E180" s="49"/>
      <c r="F180" s="51"/>
      <c r="G180" s="83"/>
      <c r="H180" s="49"/>
      <c r="I180" s="51"/>
    </row>
    <row r="181" spans="1:9" x14ac:dyDescent="0.25">
      <c r="A181" s="49" t="s">
        <v>432</v>
      </c>
      <c r="B181" s="50" t="s">
        <v>433</v>
      </c>
      <c r="C181" s="49"/>
      <c r="D181" s="83"/>
      <c r="E181" s="49"/>
      <c r="F181" s="51"/>
      <c r="G181" s="83"/>
      <c r="H181" s="49"/>
      <c r="I181" s="51"/>
    </row>
    <row r="182" spans="1:9" x14ac:dyDescent="0.25">
      <c r="A182" s="49" t="s">
        <v>434</v>
      </c>
      <c r="B182" s="50" t="s">
        <v>435</v>
      </c>
      <c r="C182" s="49"/>
      <c r="D182" s="83"/>
      <c r="E182" s="49"/>
      <c r="F182" s="51"/>
      <c r="G182" s="83"/>
      <c r="H182" s="49"/>
      <c r="I182" s="51"/>
    </row>
    <row r="183" spans="1:9" x14ac:dyDescent="0.25">
      <c r="A183" s="49" t="s">
        <v>436</v>
      </c>
      <c r="B183" s="50" t="s">
        <v>437</v>
      </c>
      <c r="C183" s="49"/>
      <c r="D183" s="83"/>
      <c r="E183" s="49"/>
      <c r="F183" s="51"/>
      <c r="G183" s="83"/>
      <c r="H183" s="49"/>
      <c r="I183" s="51"/>
    </row>
    <row r="184" spans="1:9" x14ac:dyDescent="0.25">
      <c r="A184" s="49" t="s">
        <v>438</v>
      </c>
      <c r="B184" s="50" t="s">
        <v>439</v>
      </c>
      <c r="C184" s="49"/>
      <c r="D184" s="83"/>
      <c r="E184" s="49"/>
      <c r="F184" s="51"/>
      <c r="G184" s="83"/>
      <c r="H184" s="49"/>
      <c r="I184" s="51"/>
    </row>
    <row r="185" spans="1:9" x14ac:dyDescent="0.25">
      <c r="A185" s="49" t="s">
        <v>440</v>
      </c>
      <c r="B185" s="50" t="s">
        <v>441</v>
      </c>
      <c r="C185" s="49"/>
      <c r="D185" s="83"/>
      <c r="E185" s="49"/>
      <c r="F185" s="51"/>
      <c r="G185" s="83"/>
      <c r="H185" s="49"/>
      <c r="I185" s="51"/>
    </row>
    <row r="186" spans="1:9" x14ac:dyDescent="0.25">
      <c r="A186" s="49" t="s">
        <v>442</v>
      </c>
      <c r="B186" s="50" t="s">
        <v>443</v>
      </c>
      <c r="C186" s="49"/>
      <c r="D186" s="83"/>
      <c r="E186" s="49" t="s">
        <v>444</v>
      </c>
      <c r="F186" s="51" t="s">
        <v>443</v>
      </c>
      <c r="G186" s="83"/>
      <c r="H186" s="49"/>
      <c r="I186" s="51"/>
    </row>
    <row r="187" spans="1:9" x14ac:dyDescent="0.25">
      <c r="A187" s="49" t="s">
        <v>445</v>
      </c>
      <c r="B187" s="50" t="s">
        <v>446</v>
      </c>
      <c r="C187" s="49"/>
      <c r="D187" s="83"/>
      <c r="E187" s="49"/>
      <c r="F187" s="51"/>
      <c r="G187" s="83"/>
      <c r="H187" s="49"/>
      <c r="I187" s="51"/>
    </row>
    <row r="188" spans="1:9" x14ac:dyDescent="0.25">
      <c r="A188" s="49" t="s">
        <v>447</v>
      </c>
      <c r="B188" s="50" t="s">
        <v>448</v>
      </c>
      <c r="C188" s="49"/>
      <c r="D188" s="83"/>
      <c r="E188" s="49"/>
      <c r="F188" s="51"/>
      <c r="G188" s="83"/>
      <c r="H188" s="49"/>
      <c r="I188" s="51"/>
    </row>
    <row r="189" spans="1:9" x14ac:dyDescent="0.25">
      <c r="A189" s="49" t="s">
        <v>449</v>
      </c>
      <c r="B189" s="50" t="s">
        <v>450</v>
      </c>
      <c r="C189" s="49"/>
      <c r="D189" s="83"/>
      <c r="E189" s="49"/>
      <c r="F189" s="51"/>
      <c r="G189" s="83"/>
      <c r="H189" s="49"/>
      <c r="I189" s="51"/>
    </row>
    <row r="190" spans="1:9" x14ac:dyDescent="0.25">
      <c r="A190" s="49" t="s">
        <v>451</v>
      </c>
      <c r="B190" s="50" t="s">
        <v>452</v>
      </c>
      <c r="C190" s="49"/>
      <c r="D190" s="83"/>
      <c r="E190" s="49"/>
      <c r="F190" s="51"/>
      <c r="G190" s="83"/>
      <c r="H190" s="49"/>
      <c r="I190" s="51"/>
    </row>
    <row r="191" spans="1:9" x14ac:dyDescent="0.25">
      <c r="A191" s="49" t="s">
        <v>453</v>
      </c>
      <c r="B191" s="50" t="s">
        <v>454</v>
      </c>
      <c r="C191" s="49"/>
      <c r="D191" s="83"/>
      <c r="E191" s="49"/>
      <c r="F191" s="51"/>
      <c r="G191" s="83"/>
      <c r="H191" s="49"/>
      <c r="I191" s="51"/>
    </row>
    <row r="192" spans="1:9" x14ac:dyDescent="0.25">
      <c r="A192" s="49" t="s">
        <v>455</v>
      </c>
      <c r="B192" s="50" t="s">
        <v>456</v>
      </c>
      <c r="C192" s="49"/>
      <c r="D192" s="83"/>
      <c r="E192" s="49"/>
      <c r="F192" s="51"/>
      <c r="G192" s="83"/>
      <c r="H192" s="49"/>
      <c r="I192" s="51"/>
    </row>
    <row r="193" spans="1:9" x14ac:dyDescent="0.25">
      <c r="A193" s="49" t="s">
        <v>457</v>
      </c>
      <c r="B193" s="50" t="s">
        <v>458</v>
      </c>
      <c r="C193" s="49"/>
      <c r="D193" s="83"/>
      <c r="E193" s="49"/>
      <c r="F193" s="51"/>
      <c r="G193" s="83"/>
      <c r="H193" s="49"/>
      <c r="I193" s="51"/>
    </row>
    <row r="194" spans="1:9" x14ac:dyDescent="0.25">
      <c r="A194" s="49" t="s">
        <v>459</v>
      </c>
      <c r="B194" s="50" t="s">
        <v>460</v>
      </c>
      <c r="C194" s="49"/>
      <c r="D194" s="83"/>
      <c r="E194" s="49" t="s">
        <v>461</v>
      </c>
      <c r="F194" s="51" t="s">
        <v>462</v>
      </c>
      <c r="G194" s="83"/>
      <c r="H194" s="49" t="s">
        <v>463</v>
      </c>
      <c r="I194" s="51" t="s">
        <v>464</v>
      </c>
    </row>
    <row r="195" spans="1:9" x14ac:dyDescent="0.25">
      <c r="A195" s="49" t="s">
        <v>465</v>
      </c>
      <c r="B195" s="50" t="s">
        <v>466</v>
      </c>
      <c r="C195" s="49"/>
      <c r="D195" s="83"/>
      <c r="E195" s="49"/>
      <c r="F195" s="51"/>
      <c r="G195" s="83"/>
      <c r="H195" s="49"/>
      <c r="I195" s="51"/>
    </row>
    <row r="196" spans="1:9" x14ac:dyDescent="0.25">
      <c r="A196" s="49" t="s">
        <v>467</v>
      </c>
      <c r="B196" s="50" t="s">
        <v>468</v>
      </c>
      <c r="C196" s="49"/>
      <c r="D196" s="83"/>
      <c r="E196" s="49"/>
      <c r="F196" s="51"/>
      <c r="G196" s="83"/>
      <c r="H196" s="49"/>
      <c r="I196" s="51"/>
    </row>
    <row r="197" spans="1:9" x14ac:dyDescent="0.25">
      <c r="A197" s="49" t="s">
        <v>469</v>
      </c>
      <c r="B197" s="50" t="s">
        <v>470</v>
      </c>
      <c r="C197" s="49"/>
      <c r="D197" s="83"/>
      <c r="E197" s="49"/>
      <c r="F197" s="51"/>
      <c r="G197" s="83"/>
      <c r="H197" s="49"/>
      <c r="I197" s="51"/>
    </row>
    <row r="198" spans="1:9" x14ac:dyDescent="0.25">
      <c r="A198" s="49" t="s">
        <v>471</v>
      </c>
      <c r="B198" s="50" t="s">
        <v>472</v>
      </c>
      <c r="C198" s="49"/>
      <c r="D198" s="83"/>
      <c r="E198" s="49"/>
      <c r="F198" s="51"/>
      <c r="G198" s="83"/>
      <c r="H198" s="49"/>
      <c r="I198" s="51"/>
    </row>
    <row r="199" spans="1:9" x14ac:dyDescent="0.25">
      <c r="A199" s="49" t="s">
        <v>473</v>
      </c>
      <c r="B199" s="50" t="s">
        <v>474</v>
      </c>
      <c r="C199" s="49"/>
      <c r="D199" s="83"/>
      <c r="E199" s="49"/>
      <c r="F199" s="51"/>
      <c r="G199" s="83"/>
      <c r="H199" s="49"/>
      <c r="I199" s="51"/>
    </row>
    <row r="200" spans="1:9" x14ac:dyDescent="0.25">
      <c r="A200" s="49" t="s">
        <v>475</v>
      </c>
      <c r="B200" s="50" t="s">
        <v>476</v>
      </c>
      <c r="C200" s="49"/>
      <c r="D200" s="83"/>
      <c r="E200" s="49" t="s">
        <v>463</v>
      </c>
      <c r="F200" s="51" t="s">
        <v>476</v>
      </c>
      <c r="G200" s="83"/>
      <c r="H200" s="49"/>
      <c r="I200" s="51"/>
    </row>
    <row r="201" spans="1:9" x14ac:dyDescent="0.25">
      <c r="A201" s="49" t="s">
        <v>477</v>
      </c>
      <c r="B201" s="50" t="s">
        <v>448</v>
      </c>
      <c r="C201" s="49"/>
      <c r="D201" s="83"/>
      <c r="E201" s="49"/>
      <c r="F201" s="51"/>
      <c r="G201" s="83"/>
      <c r="H201" s="49"/>
      <c r="I201" s="51"/>
    </row>
    <row r="202" spans="1:9" x14ac:dyDescent="0.25">
      <c r="A202" s="49" t="s">
        <v>406</v>
      </c>
      <c r="B202" s="50" t="s">
        <v>407</v>
      </c>
      <c r="C202" s="49"/>
      <c r="D202" s="83"/>
      <c r="E202" s="49" t="s">
        <v>408</v>
      </c>
      <c r="F202" s="51" t="s">
        <v>407</v>
      </c>
      <c r="G202" s="83"/>
      <c r="H202" s="49" t="s">
        <v>404</v>
      </c>
      <c r="I202" s="51" t="s">
        <v>407</v>
      </c>
    </row>
    <row r="203" spans="1:9" x14ac:dyDescent="0.25">
      <c r="A203" s="49" t="s">
        <v>478</v>
      </c>
      <c r="B203" s="50" t="s">
        <v>479</v>
      </c>
      <c r="C203" s="49"/>
      <c r="D203" s="83"/>
      <c r="E203" s="49"/>
      <c r="F203" s="51"/>
      <c r="G203" s="83"/>
      <c r="H203" s="49"/>
      <c r="I203" s="51"/>
    </row>
    <row r="204" spans="1:9" x14ac:dyDescent="0.25">
      <c r="A204" s="49" t="s">
        <v>480</v>
      </c>
      <c r="B204" s="50" t="s">
        <v>481</v>
      </c>
      <c r="C204" s="49"/>
      <c r="D204" s="83"/>
      <c r="E204" s="49"/>
      <c r="F204" s="51"/>
      <c r="G204" s="83"/>
      <c r="H204" s="49"/>
      <c r="I204" s="51"/>
    </row>
    <row r="205" spans="1:9" x14ac:dyDescent="0.25">
      <c r="A205" s="49" t="s">
        <v>482</v>
      </c>
      <c r="B205" s="50" t="s">
        <v>483</v>
      </c>
      <c r="C205" s="49"/>
      <c r="D205" s="83"/>
      <c r="E205" s="49" t="s">
        <v>484</v>
      </c>
      <c r="F205" s="51" t="s">
        <v>483</v>
      </c>
      <c r="G205" s="83"/>
      <c r="H205" s="49"/>
      <c r="I205" s="51"/>
    </row>
    <row r="206" spans="1:9" x14ac:dyDescent="0.25">
      <c r="A206" s="49" t="s">
        <v>485</v>
      </c>
      <c r="B206" s="50" t="s">
        <v>486</v>
      </c>
      <c r="C206" s="49"/>
      <c r="D206" s="83"/>
      <c r="E206" s="49"/>
      <c r="F206" s="51"/>
      <c r="G206" s="83"/>
      <c r="H206" s="49"/>
      <c r="I206" s="51"/>
    </row>
    <row r="207" spans="1:9" x14ac:dyDescent="0.25">
      <c r="A207" s="49" t="s">
        <v>487</v>
      </c>
      <c r="B207" s="50" t="s">
        <v>488</v>
      </c>
      <c r="C207" s="49"/>
      <c r="D207" s="83"/>
      <c r="E207" s="49"/>
      <c r="F207" s="51"/>
      <c r="G207" s="83"/>
      <c r="H207" s="49"/>
      <c r="I207" s="51"/>
    </row>
    <row r="208" spans="1:9" x14ac:dyDescent="0.25">
      <c r="A208" s="49" t="s">
        <v>489</v>
      </c>
      <c r="B208" s="50" t="s">
        <v>490</v>
      </c>
      <c r="C208" s="49"/>
      <c r="D208" s="83"/>
      <c r="E208" s="49"/>
      <c r="F208" s="51"/>
      <c r="G208" s="83"/>
      <c r="H208" s="49"/>
      <c r="I208" s="51"/>
    </row>
    <row r="209" spans="1:9" x14ac:dyDescent="0.25">
      <c r="A209" s="49" t="s">
        <v>491</v>
      </c>
      <c r="B209" s="50" t="s">
        <v>492</v>
      </c>
      <c r="C209" s="49"/>
      <c r="D209" s="83"/>
      <c r="E209" s="49"/>
      <c r="F209" s="51"/>
      <c r="G209" s="83"/>
      <c r="H209" s="49"/>
      <c r="I209" s="51"/>
    </row>
    <row r="210" spans="1:9" x14ac:dyDescent="0.25">
      <c r="A210" s="49" t="s">
        <v>493</v>
      </c>
      <c r="B210" s="50" t="s">
        <v>494</v>
      </c>
      <c r="C210" s="49"/>
      <c r="D210" s="83"/>
      <c r="E210" s="49" t="s">
        <v>495</v>
      </c>
      <c r="F210" s="51" t="s">
        <v>496</v>
      </c>
      <c r="G210" s="83"/>
      <c r="H210" s="49" t="s">
        <v>497</v>
      </c>
      <c r="I210" s="51" t="s">
        <v>496</v>
      </c>
    </row>
    <row r="211" spans="1:9" x14ac:dyDescent="0.25">
      <c r="A211" s="49" t="s">
        <v>498</v>
      </c>
      <c r="B211" s="50" t="s">
        <v>499</v>
      </c>
      <c r="C211" s="49"/>
      <c r="D211" s="83"/>
      <c r="E211" s="49" t="s">
        <v>500</v>
      </c>
      <c r="F211" s="51" t="s">
        <v>501</v>
      </c>
      <c r="G211" s="83"/>
      <c r="H211" s="49" t="s">
        <v>502</v>
      </c>
      <c r="I211" s="51" t="s">
        <v>503</v>
      </c>
    </row>
    <row r="212" spans="1:9" x14ac:dyDescent="0.25">
      <c r="A212" s="49" t="s">
        <v>504</v>
      </c>
      <c r="B212" s="50" t="s">
        <v>505</v>
      </c>
      <c r="C212" s="49"/>
      <c r="D212" s="83"/>
      <c r="E212" s="49"/>
      <c r="F212" s="51"/>
      <c r="G212" s="83"/>
      <c r="H212" s="49"/>
      <c r="I212" s="51"/>
    </row>
    <row r="213" spans="1:9" x14ac:dyDescent="0.25">
      <c r="A213" s="49" t="s">
        <v>506</v>
      </c>
      <c r="B213" s="50" t="s">
        <v>507</v>
      </c>
      <c r="C213" s="49"/>
      <c r="D213" s="83"/>
      <c r="E213" s="49"/>
      <c r="F213" s="51"/>
      <c r="G213" s="83"/>
      <c r="H213" s="49"/>
      <c r="I213" s="51"/>
    </row>
    <row r="214" spans="1:9" x14ac:dyDescent="0.25">
      <c r="A214" s="49" t="s">
        <v>508</v>
      </c>
      <c r="B214" s="50" t="s">
        <v>509</v>
      </c>
      <c r="C214" s="49"/>
      <c r="D214" s="83"/>
      <c r="E214" s="49"/>
      <c r="F214" s="51"/>
      <c r="G214" s="83"/>
      <c r="H214" s="49"/>
      <c r="I214" s="51"/>
    </row>
    <row r="215" spans="1:9" x14ac:dyDescent="0.25">
      <c r="A215" s="49" t="s">
        <v>510</v>
      </c>
      <c r="B215" s="50" t="s">
        <v>511</v>
      </c>
      <c r="C215" s="49"/>
      <c r="D215" s="83"/>
      <c r="E215" s="49"/>
      <c r="F215" s="51"/>
      <c r="G215" s="83"/>
      <c r="H215" s="49"/>
      <c r="I215" s="51"/>
    </row>
    <row r="216" spans="1:9" x14ac:dyDescent="0.25">
      <c r="A216" s="49" t="s">
        <v>512</v>
      </c>
      <c r="B216" s="50" t="s">
        <v>513</v>
      </c>
      <c r="C216" s="49"/>
      <c r="D216" s="83"/>
      <c r="E216" s="49"/>
      <c r="F216" s="51"/>
      <c r="G216" s="83"/>
      <c r="H216" s="49"/>
      <c r="I216" s="51"/>
    </row>
    <row r="217" spans="1:9" x14ac:dyDescent="0.25">
      <c r="A217" s="49" t="s">
        <v>514</v>
      </c>
      <c r="B217" s="50" t="s">
        <v>511</v>
      </c>
      <c r="C217" s="49"/>
      <c r="D217" s="83"/>
      <c r="E217" s="49" t="s">
        <v>510</v>
      </c>
      <c r="F217" s="51" t="s">
        <v>511</v>
      </c>
      <c r="G217" s="83"/>
      <c r="H217" s="49"/>
      <c r="I217" s="51"/>
    </row>
    <row r="218" spans="1:9" x14ac:dyDescent="0.25">
      <c r="A218" s="49" t="s">
        <v>515</v>
      </c>
      <c r="B218" s="50" t="s">
        <v>513</v>
      </c>
      <c r="C218" s="49"/>
      <c r="D218" s="83"/>
      <c r="E218" s="49" t="s">
        <v>512</v>
      </c>
      <c r="F218" s="51" t="s">
        <v>516</v>
      </c>
      <c r="G218" s="83"/>
      <c r="H218" s="49" t="s">
        <v>517</v>
      </c>
      <c r="I218" s="51" t="s">
        <v>518</v>
      </c>
    </row>
    <row r="219" spans="1:9" x14ac:dyDescent="0.25">
      <c r="A219" s="49" t="s">
        <v>519</v>
      </c>
      <c r="B219" s="50" t="s">
        <v>520</v>
      </c>
      <c r="C219" s="49"/>
      <c r="D219" s="83"/>
      <c r="E219" s="49"/>
      <c r="F219" s="51"/>
      <c r="G219" s="83"/>
      <c r="H219" s="49"/>
      <c r="I219" s="51"/>
    </row>
    <row r="220" spans="1:9" x14ac:dyDescent="0.25">
      <c r="A220" s="49" t="s">
        <v>521</v>
      </c>
      <c r="B220" s="50" t="s">
        <v>522</v>
      </c>
      <c r="C220" s="49"/>
      <c r="D220" s="83"/>
      <c r="E220" s="49"/>
      <c r="F220" s="51"/>
      <c r="G220" s="83"/>
      <c r="H220" s="49"/>
      <c r="I220" s="51"/>
    </row>
    <row r="221" spans="1:9" x14ac:dyDescent="0.25">
      <c r="A221" s="49" t="s">
        <v>523</v>
      </c>
      <c r="B221" s="50" t="s">
        <v>524</v>
      </c>
      <c r="C221" s="49"/>
      <c r="D221" s="83"/>
      <c r="E221" s="49"/>
      <c r="F221" s="51"/>
      <c r="G221" s="83"/>
      <c r="H221" s="49"/>
      <c r="I221" s="51"/>
    </row>
    <row r="222" spans="1:9" x14ac:dyDescent="0.25">
      <c r="A222" s="49" t="s">
        <v>525</v>
      </c>
      <c r="B222" s="50" t="s">
        <v>526</v>
      </c>
      <c r="C222" s="49"/>
      <c r="D222" s="83"/>
      <c r="E222" s="49"/>
      <c r="F222" s="51"/>
      <c r="G222" s="83"/>
      <c r="H222" s="49"/>
      <c r="I222" s="51"/>
    </row>
    <row r="223" spans="1:9" x14ac:dyDescent="0.25">
      <c r="A223" s="49" t="s">
        <v>527</v>
      </c>
      <c r="B223" s="50" t="s">
        <v>528</v>
      </c>
      <c r="C223" s="49"/>
      <c r="D223" s="83"/>
      <c r="E223" s="49"/>
      <c r="F223" s="51"/>
      <c r="G223" s="83"/>
      <c r="H223" s="49"/>
      <c r="I223" s="51"/>
    </row>
    <row r="224" spans="1:9" x14ac:dyDescent="0.25">
      <c r="A224" s="49" t="s">
        <v>548</v>
      </c>
      <c r="B224" s="50" t="s">
        <v>182</v>
      </c>
      <c r="C224" s="49"/>
      <c r="D224" s="83"/>
      <c r="E224" s="49"/>
      <c r="F224" s="51"/>
      <c r="G224" s="83"/>
      <c r="H224" s="49"/>
      <c r="I224" s="51"/>
    </row>
    <row r="225" spans="1:9" x14ac:dyDescent="0.25">
      <c r="A225" s="49" t="s">
        <v>540</v>
      </c>
      <c r="B225" s="50" t="s">
        <v>565</v>
      </c>
      <c r="C225" s="49"/>
      <c r="D225" s="83"/>
      <c r="E225" s="49"/>
      <c r="F225" s="51"/>
      <c r="G225" s="83"/>
      <c r="H225" s="49"/>
      <c r="I225" s="51"/>
    </row>
    <row r="226" spans="1:9" x14ac:dyDescent="0.25">
      <c r="A226" s="49" t="s">
        <v>530</v>
      </c>
      <c r="B226" s="50" t="s">
        <v>555</v>
      </c>
      <c r="C226" s="49"/>
      <c r="D226" s="83"/>
      <c r="E226" s="49"/>
      <c r="F226" s="51"/>
      <c r="G226" s="83"/>
      <c r="H226" s="49"/>
      <c r="I226" s="51"/>
    </row>
    <row r="227" spans="1:9" x14ac:dyDescent="0.25">
      <c r="A227" s="49" t="s">
        <v>532</v>
      </c>
      <c r="B227" s="50" t="s">
        <v>569</v>
      </c>
      <c r="C227" s="49"/>
      <c r="D227" s="83"/>
      <c r="E227" s="49"/>
      <c r="F227" s="51"/>
      <c r="G227" s="83"/>
      <c r="H227" s="49"/>
      <c r="I227" s="51"/>
    </row>
    <row r="228" spans="1:9" x14ac:dyDescent="0.25">
      <c r="A228" s="49" t="s">
        <v>545</v>
      </c>
      <c r="B228" s="50" t="s">
        <v>561</v>
      </c>
      <c r="C228" s="49"/>
      <c r="D228" s="83"/>
      <c r="E228" s="49"/>
      <c r="F228" s="51"/>
      <c r="G228" s="83"/>
      <c r="H228" s="49"/>
      <c r="I228" s="51"/>
    </row>
    <row r="229" spans="1:9" x14ac:dyDescent="0.25">
      <c r="A229" s="49" t="s">
        <v>543</v>
      </c>
      <c r="B229" s="50" t="s">
        <v>566</v>
      </c>
      <c r="C229" s="49"/>
      <c r="D229" s="83"/>
      <c r="E229" s="49" t="s">
        <v>570</v>
      </c>
      <c r="F229" s="51" t="s">
        <v>571</v>
      </c>
      <c r="G229" s="83"/>
      <c r="H229" s="49"/>
      <c r="I229" s="51"/>
    </row>
    <row r="230" spans="1:9" x14ac:dyDescent="0.25">
      <c r="A230" s="49" t="s">
        <v>533</v>
      </c>
      <c r="B230" s="50" t="s">
        <v>556</v>
      </c>
      <c r="C230" s="49"/>
      <c r="D230" s="83"/>
      <c r="E230" s="49" t="s">
        <v>591</v>
      </c>
      <c r="F230" s="50" t="s">
        <v>556</v>
      </c>
      <c r="G230" s="83"/>
      <c r="H230" s="49"/>
      <c r="I230" s="51"/>
    </row>
    <row r="231" spans="1:9" x14ac:dyDescent="0.25">
      <c r="A231" s="49" t="s">
        <v>76</v>
      </c>
      <c r="B231" s="50" t="s">
        <v>366</v>
      </c>
      <c r="C231" s="49"/>
      <c r="D231" s="83"/>
      <c r="E231" s="49"/>
      <c r="F231" s="51"/>
      <c r="G231" s="83"/>
      <c r="H231" s="49"/>
      <c r="I231" s="51"/>
    </row>
    <row r="232" spans="1:9" x14ac:dyDescent="0.25">
      <c r="A232" s="49" t="s">
        <v>537</v>
      </c>
      <c r="B232" s="50" t="s">
        <v>553</v>
      </c>
      <c r="C232" s="49"/>
      <c r="D232" s="83"/>
      <c r="E232" s="49"/>
      <c r="F232" s="51"/>
      <c r="G232" s="83"/>
      <c r="H232" s="49"/>
      <c r="I232" s="51"/>
    </row>
    <row r="233" spans="1:9" x14ac:dyDescent="0.25">
      <c r="A233" s="49" t="s">
        <v>536</v>
      </c>
      <c r="B233" s="50" t="s">
        <v>563</v>
      </c>
      <c r="C233" s="49"/>
      <c r="D233" s="83"/>
      <c r="E233" s="49"/>
      <c r="F233" s="51"/>
      <c r="G233" s="83"/>
      <c r="H233" s="49"/>
      <c r="I233" s="51"/>
    </row>
    <row r="234" spans="1:9" x14ac:dyDescent="0.25">
      <c r="A234" s="49" t="s">
        <v>535</v>
      </c>
      <c r="B234" s="50" t="s">
        <v>142</v>
      </c>
      <c r="C234" s="49"/>
      <c r="D234" s="83"/>
      <c r="E234" s="49" t="s">
        <v>590</v>
      </c>
      <c r="F234" s="50" t="s">
        <v>594</v>
      </c>
      <c r="G234" s="83"/>
      <c r="H234" s="49"/>
      <c r="I234" s="51"/>
    </row>
    <row r="235" spans="1:9" x14ac:dyDescent="0.25">
      <c r="A235" s="49" t="s">
        <v>103</v>
      </c>
      <c r="B235" s="50" t="s">
        <v>367</v>
      </c>
      <c r="C235" s="49"/>
      <c r="D235" s="83"/>
      <c r="E235" s="49"/>
      <c r="F235" s="51"/>
      <c r="G235" s="83"/>
      <c r="H235" s="49"/>
      <c r="I235" s="51"/>
    </row>
    <row r="236" spans="1:9" x14ac:dyDescent="0.25">
      <c r="A236" s="49" t="s">
        <v>534</v>
      </c>
      <c r="B236" s="50" t="s">
        <v>550</v>
      </c>
      <c r="C236" s="49"/>
      <c r="D236" s="83"/>
      <c r="E236" s="49" t="s">
        <v>591</v>
      </c>
      <c r="F236" s="51" t="s">
        <v>595</v>
      </c>
      <c r="G236" s="83"/>
      <c r="H236" s="49"/>
      <c r="I236" s="51"/>
    </row>
    <row r="237" spans="1:9" x14ac:dyDescent="0.25">
      <c r="A237" s="49" t="s">
        <v>544</v>
      </c>
      <c r="B237" s="50" t="s">
        <v>552</v>
      </c>
      <c r="C237" s="49"/>
      <c r="D237" s="83"/>
      <c r="E237" s="49"/>
      <c r="F237" s="51"/>
      <c r="G237" s="83"/>
      <c r="H237" s="49"/>
      <c r="I237" s="51"/>
    </row>
    <row r="238" spans="1:9" x14ac:dyDescent="0.25">
      <c r="A238" s="49" t="s">
        <v>549</v>
      </c>
      <c r="B238" s="50" t="s">
        <v>554</v>
      </c>
      <c r="C238" s="49"/>
      <c r="D238" s="83"/>
      <c r="E238" s="49" t="s">
        <v>589</v>
      </c>
      <c r="F238" s="50" t="s">
        <v>554</v>
      </c>
      <c r="G238" s="83"/>
      <c r="H238" s="49"/>
      <c r="I238" s="51"/>
    </row>
    <row r="239" spans="1:9" x14ac:dyDescent="0.25">
      <c r="A239" s="49" t="s">
        <v>542</v>
      </c>
      <c r="B239" s="50" t="s">
        <v>557</v>
      </c>
      <c r="C239" s="49"/>
      <c r="D239" s="83"/>
      <c r="E239" s="49" t="s">
        <v>584</v>
      </c>
      <c r="F239" s="50" t="s">
        <v>588</v>
      </c>
      <c r="G239" s="83"/>
      <c r="H239" s="49"/>
      <c r="I239" s="51"/>
    </row>
    <row r="240" spans="1:9" x14ac:dyDescent="0.25">
      <c r="A240" s="49" t="s">
        <v>539</v>
      </c>
      <c r="B240" s="50" t="s">
        <v>564</v>
      </c>
      <c r="C240" s="49"/>
      <c r="D240" s="83"/>
      <c r="E240" s="49" t="s">
        <v>539</v>
      </c>
      <c r="F240" s="50" t="s">
        <v>564</v>
      </c>
      <c r="G240" s="83"/>
      <c r="H240" s="49"/>
      <c r="I240" s="51"/>
    </row>
    <row r="241" spans="1:9" x14ac:dyDescent="0.25">
      <c r="A241" s="49" t="s">
        <v>547</v>
      </c>
      <c r="B241" s="50" t="s">
        <v>560</v>
      </c>
      <c r="C241" s="49"/>
      <c r="D241" s="83"/>
      <c r="E241" s="49" t="s">
        <v>585</v>
      </c>
      <c r="F241" s="50" t="s">
        <v>560</v>
      </c>
      <c r="G241" s="83"/>
      <c r="H241" s="49"/>
      <c r="I241" s="51"/>
    </row>
    <row r="242" spans="1:9" x14ac:dyDescent="0.25">
      <c r="A242" s="49" t="s">
        <v>546</v>
      </c>
      <c r="B242" s="50" t="s">
        <v>558</v>
      </c>
      <c r="C242" s="49"/>
      <c r="D242" s="83"/>
      <c r="E242" s="49" t="s">
        <v>586</v>
      </c>
      <c r="F242" s="50" t="s">
        <v>587</v>
      </c>
      <c r="G242" s="83"/>
      <c r="H242" s="49"/>
      <c r="I242" s="51"/>
    </row>
    <row r="243" spans="1:9" x14ac:dyDescent="0.25">
      <c r="A243" s="49" t="s">
        <v>567</v>
      </c>
      <c r="B243" s="50" t="s">
        <v>568</v>
      </c>
      <c r="C243" s="49"/>
      <c r="D243" s="83"/>
      <c r="E243" s="49" t="s">
        <v>531</v>
      </c>
      <c r="F243" s="51" t="s">
        <v>562</v>
      </c>
      <c r="G243" s="83"/>
      <c r="H243" s="49" t="s">
        <v>593</v>
      </c>
      <c r="I243" s="50" t="s">
        <v>568</v>
      </c>
    </row>
    <row r="244" spans="1:9" x14ac:dyDescent="0.25">
      <c r="A244"/>
      <c r="B244"/>
      <c r="C244"/>
      <c r="D244"/>
      <c r="E244"/>
      <c r="F244"/>
      <c r="G244"/>
      <c r="H244"/>
      <c r="I244"/>
    </row>
  </sheetData>
  <sheetProtection selectLockedCells="1"/>
  <protectedRanges>
    <protectedRange sqref="G4:G5 G2 D2:D51 G8:G51" name="Rango1_1"/>
    <protectedRange sqref="G3" name="Rango1_12_1"/>
    <protectedRange sqref="G6:G7" name="Rango1_13_1"/>
  </protectedRanges>
  <autoFilter ref="A1:I243" xr:uid="{00000000-0009-0000-0000-000003000000}"/>
  <phoneticPr fontId="4" type="noConversion"/>
  <conditionalFormatting sqref="A245:A1048576 A1:A8 A10:A243">
    <cfRule type="duplicateValues" dxfId="7" priority="8"/>
  </conditionalFormatting>
  <conditionalFormatting sqref="E10">
    <cfRule type="duplicateValues" dxfId="6" priority="7"/>
  </conditionalFormatting>
  <conditionalFormatting sqref="H9">
    <cfRule type="duplicateValues" dxfId="5" priority="6"/>
  </conditionalFormatting>
  <conditionalFormatting sqref="E241">
    <cfRule type="duplicateValues" dxfId="4" priority="5"/>
  </conditionalFormatting>
  <conditionalFormatting sqref="E239">
    <cfRule type="duplicateValues" dxfId="3" priority="4"/>
  </conditionalFormatting>
  <conditionalFormatting sqref="H243">
    <cfRule type="duplicateValues" dxfId="2" priority="3"/>
  </conditionalFormatting>
  <conditionalFormatting sqref="E230">
    <cfRule type="duplicateValues" dxfId="1" priority="2"/>
  </conditionalFormatting>
  <conditionalFormatting sqref="E234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Balance</vt:lpstr>
      <vt:lpstr>Notas</vt:lpstr>
      <vt:lpstr>Optativas</vt:lpstr>
      <vt:lpstr>Electivas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Olga Lisett Macias Morales</cp:lastModifiedBy>
  <cp:revision/>
  <cp:lastPrinted>2024-10-17T16:52:53Z</cp:lastPrinted>
  <dcterms:created xsi:type="dcterms:W3CDTF">2024-08-29T16:28:19Z</dcterms:created>
  <dcterms:modified xsi:type="dcterms:W3CDTF">2026-06-23T14:45:22Z</dcterms:modified>
  <cp:category/>
  <cp:contentStatus/>
</cp:coreProperties>
</file>