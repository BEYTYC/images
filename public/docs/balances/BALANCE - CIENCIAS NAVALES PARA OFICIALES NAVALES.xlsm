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47" documentId="13_ncr:1_{B3F70602-465A-4EB8-9F96-22D7ACC8270F}" xr6:coauthVersionLast="47" xr6:coauthVersionMax="47" xr10:uidLastSave="{B79B4BA2-DBAE-43C9-9486-3E35CE3CF85A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Balance!$C$11:$L$74</definedName>
    <definedName name="_xlnm._FilterDatabase" localSheetId="3" hidden="1">Equivalencia!$A$1:$I$59</definedName>
    <definedName name="_xlnm.Print_Area" localSheetId="0">Balance!$C$3:$L$88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L9" i="1" l="1"/>
  <c r="D59" i="7" l="1"/>
  <c r="E59" i="7"/>
  <c r="F59" i="7"/>
  <c r="D60" i="7"/>
  <c r="E60" i="7"/>
  <c r="F60" i="7"/>
  <c r="D61" i="7"/>
  <c r="E61" i="7"/>
  <c r="F61" i="7"/>
  <c r="D62" i="7"/>
  <c r="E62" i="7"/>
  <c r="F62" i="7"/>
  <c r="D63" i="7"/>
  <c r="E63" i="7"/>
  <c r="F63" i="7"/>
  <c r="D64" i="7"/>
  <c r="E64" i="7"/>
  <c r="F64" i="7"/>
  <c r="D65" i="7"/>
  <c r="E65" i="7"/>
  <c r="F65" i="7"/>
  <c r="D66" i="7"/>
  <c r="E66" i="7"/>
  <c r="F66" i="7"/>
  <c r="D67" i="7"/>
  <c r="E67" i="7"/>
  <c r="F67" i="7"/>
  <c r="D68" i="7"/>
  <c r="E68" i="7"/>
  <c r="F68" i="7"/>
  <c r="D69" i="7"/>
  <c r="E69" i="7"/>
  <c r="F69" i="7"/>
  <c r="D70" i="7"/>
  <c r="E70" i="7"/>
  <c r="F70" i="7"/>
  <c r="D71" i="7"/>
  <c r="E71" i="7"/>
  <c r="F71" i="7"/>
  <c r="D72" i="7"/>
  <c r="E72" i="7"/>
  <c r="F72" i="7"/>
  <c r="D73" i="7"/>
  <c r="E73" i="7"/>
  <c r="F73" i="7"/>
  <c r="D74" i="7"/>
  <c r="E74" i="7"/>
  <c r="F74" i="7"/>
  <c r="D75" i="7"/>
  <c r="E75" i="7"/>
  <c r="F75" i="7"/>
  <c r="D76" i="7"/>
  <c r="E76" i="7"/>
  <c r="F76" i="7"/>
  <c r="D77" i="7"/>
  <c r="E77" i="7"/>
  <c r="F77" i="7"/>
  <c r="D78" i="7"/>
  <c r="E78" i="7"/>
  <c r="F78" i="7"/>
  <c r="C74" i="7"/>
  <c r="C63" i="7"/>
  <c r="H18" i="7"/>
  <c r="C70" i="7" s="1"/>
  <c r="H19" i="7"/>
  <c r="C71" i="7" s="1"/>
  <c r="H20" i="7"/>
  <c r="C72" i="7" s="1"/>
  <c r="H21" i="7"/>
  <c r="C73" i="7" s="1"/>
  <c r="H22" i="7"/>
  <c r="H23" i="7"/>
  <c r="C75" i="7" s="1"/>
  <c r="H24" i="7"/>
  <c r="C76" i="7" s="1"/>
  <c r="H25" i="7"/>
  <c r="C77" i="7" s="1"/>
  <c r="H26" i="7"/>
  <c r="C78" i="7" s="1"/>
  <c r="H17" i="7"/>
  <c r="C69" i="7" s="1"/>
  <c r="C18" i="7"/>
  <c r="C60" i="7" s="1"/>
  <c r="C19" i="7"/>
  <c r="C61" i="7" s="1"/>
  <c r="C20" i="7"/>
  <c r="C62" i="7" s="1"/>
  <c r="C21" i="7"/>
  <c r="C22" i="7"/>
  <c r="C64" i="7" s="1"/>
  <c r="C23" i="7"/>
  <c r="C65" i="7" s="1"/>
  <c r="C24" i="7"/>
  <c r="C66" i="7" s="1"/>
  <c r="C25" i="7"/>
  <c r="C67" i="7" s="1"/>
  <c r="C26" i="7"/>
  <c r="C68" i="7" s="1"/>
  <c r="C17" i="7"/>
  <c r="C59" i="7" s="1"/>
  <c r="C4" i="7"/>
  <c r="C29" i="7" s="1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E29" i="7"/>
  <c r="F29" i="7"/>
  <c r="E30" i="7"/>
  <c r="F30" i="7"/>
  <c r="E31" i="7"/>
  <c r="F31" i="7"/>
  <c r="E32" i="7"/>
  <c r="F32" i="7"/>
  <c r="E33" i="7"/>
  <c r="F33" i="7"/>
  <c r="E34" i="7"/>
  <c r="F34" i="7"/>
  <c r="E35" i="7"/>
  <c r="F35" i="7"/>
  <c r="E36" i="7"/>
  <c r="F36" i="7"/>
  <c r="E37" i="7"/>
  <c r="F37" i="7"/>
  <c r="E38" i="7"/>
  <c r="F38" i="7"/>
  <c r="E39" i="7"/>
  <c r="F39" i="7"/>
  <c r="E40" i="7"/>
  <c r="F40" i="7"/>
  <c r="E41" i="7"/>
  <c r="F41" i="7"/>
  <c r="E42" i="7"/>
  <c r="F42" i="7"/>
  <c r="E43" i="7"/>
  <c r="F43" i="7"/>
  <c r="E44" i="7"/>
  <c r="F44" i="7"/>
  <c r="E45" i="7"/>
  <c r="F45" i="7"/>
  <c r="E46" i="7"/>
  <c r="F46" i="7"/>
  <c r="E47" i="7"/>
  <c r="F47" i="7"/>
  <c r="E48" i="7"/>
  <c r="F48" i="7"/>
  <c r="E49" i="7"/>
  <c r="F49" i="7"/>
  <c r="E50" i="7"/>
  <c r="F50" i="7"/>
  <c r="E51" i="7"/>
  <c r="F51" i="7"/>
  <c r="E52" i="7"/>
  <c r="F52" i="7"/>
  <c r="E53" i="7"/>
  <c r="F53" i="7"/>
  <c r="E54" i="7"/>
  <c r="F54" i="7"/>
  <c r="E55" i="7"/>
  <c r="F55" i="7"/>
  <c r="E56" i="7"/>
  <c r="F56" i="7"/>
  <c r="E57" i="7"/>
  <c r="F57" i="7"/>
  <c r="E58" i="7"/>
  <c r="F58" i="7"/>
  <c r="H13" i="7"/>
  <c r="C48" i="7" s="1"/>
  <c r="H12" i="7"/>
  <c r="C47" i="7" s="1"/>
  <c r="H11" i="7"/>
  <c r="C46" i="7" s="1"/>
  <c r="H10" i="7"/>
  <c r="C45" i="7" s="1"/>
  <c r="H9" i="7"/>
  <c r="C44" i="7" s="1"/>
  <c r="H8" i="7"/>
  <c r="C43" i="7" s="1"/>
  <c r="H7" i="7"/>
  <c r="C42" i="7" s="1"/>
  <c r="H6" i="7"/>
  <c r="C41" i="7" s="1"/>
  <c r="H5" i="7"/>
  <c r="C40" i="7" s="1"/>
  <c r="H4" i="7"/>
  <c r="C39" i="7" s="1"/>
  <c r="M13" i="7"/>
  <c r="C58" i="7" s="1"/>
  <c r="M12" i="7"/>
  <c r="C57" i="7" s="1"/>
  <c r="M11" i="7"/>
  <c r="C56" i="7" s="1"/>
  <c r="M10" i="7"/>
  <c r="C55" i="7" s="1"/>
  <c r="M9" i="7"/>
  <c r="C54" i="7" s="1"/>
  <c r="M8" i="7"/>
  <c r="C53" i="7" s="1"/>
  <c r="M7" i="7"/>
  <c r="C52" i="7" s="1"/>
  <c r="M6" i="7"/>
  <c r="C51" i="7" s="1"/>
  <c r="M5" i="7"/>
  <c r="C50" i="7" s="1"/>
  <c r="M4" i="7"/>
  <c r="C49" i="7" s="1"/>
  <c r="C5" i="7"/>
  <c r="C30" i="7" s="1"/>
  <c r="C6" i="7"/>
  <c r="C31" i="7" s="1"/>
  <c r="C7" i="7"/>
  <c r="C32" i="7" s="1"/>
  <c r="C8" i="7"/>
  <c r="C33" i="7" s="1"/>
  <c r="C9" i="7"/>
  <c r="C34" i="7" s="1"/>
  <c r="C10" i="7"/>
  <c r="C35" i="7" s="1"/>
  <c r="C11" i="7"/>
  <c r="C36" i="7" s="1"/>
  <c r="C12" i="7"/>
  <c r="C37" i="7" s="1"/>
  <c r="C13" i="7"/>
  <c r="C38" i="7" s="1"/>
  <c r="G72" i="1" l="1"/>
  <c r="K72" i="1" s="1"/>
  <c r="G73" i="1"/>
  <c r="H73" i="1" s="1"/>
  <c r="G74" i="1"/>
  <c r="H74" i="1" s="1"/>
  <c r="G71" i="1"/>
  <c r="J71" i="1" s="1"/>
  <c r="G70" i="1"/>
  <c r="J70" i="1" s="1"/>
  <c r="G67" i="1"/>
  <c r="G51" i="1"/>
  <c r="H51" i="1" s="1"/>
  <c r="G35" i="1"/>
  <c r="H35" i="1" s="1"/>
  <c r="G19" i="1"/>
  <c r="G18" i="1"/>
  <c r="H18" i="1" s="1"/>
  <c r="G65" i="1"/>
  <c r="H65" i="1" s="1"/>
  <c r="G17" i="1"/>
  <c r="H17" i="1" s="1"/>
  <c r="G31" i="1"/>
  <c r="H31" i="1" s="1"/>
  <c r="G14" i="1"/>
  <c r="H14" i="1" s="1"/>
  <c r="G61" i="1"/>
  <c r="H61" i="1" s="1"/>
  <c r="G66" i="1"/>
  <c r="H66" i="1" s="1"/>
  <c r="G50" i="1"/>
  <c r="H50" i="1" s="1"/>
  <c r="G34" i="1"/>
  <c r="H34" i="1" s="1"/>
  <c r="G49" i="1"/>
  <c r="H49" i="1" s="1"/>
  <c r="G47" i="1"/>
  <c r="H47" i="1" s="1"/>
  <c r="G46" i="1"/>
  <c r="H46" i="1" s="1"/>
  <c r="G29" i="1"/>
  <c r="H29" i="1" s="1"/>
  <c r="G33" i="1"/>
  <c r="H33" i="1" s="1"/>
  <c r="G13" i="1"/>
  <c r="H13" i="1" s="1"/>
  <c r="G64" i="1"/>
  <c r="H64" i="1" s="1"/>
  <c r="G48" i="1"/>
  <c r="H48" i="1" s="1"/>
  <c r="G32" i="1"/>
  <c r="H32" i="1" s="1"/>
  <c r="G16" i="1"/>
  <c r="H16" i="1" s="1"/>
  <c r="G15" i="1"/>
  <c r="H15" i="1" s="1"/>
  <c r="G30" i="1"/>
  <c r="H30" i="1" s="1"/>
  <c r="G45" i="1"/>
  <c r="H45" i="1" s="1"/>
  <c r="G63" i="1"/>
  <c r="H63" i="1" s="1"/>
  <c r="G62" i="1"/>
  <c r="H62" i="1" s="1"/>
  <c r="G60" i="1"/>
  <c r="H60" i="1" s="1"/>
  <c r="G44" i="1"/>
  <c r="G28" i="1"/>
  <c r="H28" i="1" s="1"/>
  <c r="G12" i="1"/>
  <c r="H12" i="1" s="1"/>
  <c r="G59" i="1"/>
  <c r="H59" i="1" s="1"/>
  <c r="G43" i="1"/>
  <c r="H43" i="1" s="1"/>
  <c r="G27" i="1"/>
  <c r="H27" i="1" s="1"/>
  <c r="G42" i="1"/>
  <c r="H42" i="1" s="1"/>
  <c r="G24" i="1"/>
  <c r="H24" i="1" s="1"/>
  <c r="G39" i="1"/>
  <c r="H39" i="1" s="1"/>
  <c r="G38" i="1"/>
  <c r="H38" i="1" s="1"/>
  <c r="G69" i="1"/>
  <c r="H69" i="1" s="1"/>
  <c r="G20" i="1"/>
  <c r="H20" i="1" s="1"/>
  <c r="G58" i="1"/>
  <c r="H58" i="1" s="1"/>
  <c r="G26" i="1"/>
  <c r="H26" i="1" s="1"/>
  <c r="G22" i="1"/>
  <c r="H22" i="1" s="1"/>
  <c r="G21" i="1"/>
  <c r="H21" i="1" s="1"/>
  <c r="G57" i="1"/>
  <c r="H57" i="1" s="1"/>
  <c r="G41" i="1"/>
  <c r="H41" i="1" s="1"/>
  <c r="G25" i="1"/>
  <c r="H25" i="1" s="1"/>
  <c r="G56" i="1"/>
  <c r="H56" i="1" s="1"/>
  <c r="G40" i="1"/>
  <c r="H40" i="1" s="1"/>
  <c r="G23" i="1"/>
  <c r="H23" i="1" s="1"/>
  <c r="G37" i="1"/>
  <c r="H37" i="1" s="1"/>
  <c r="G55" i="1"/>
  <c r="G54" i="1"/>
  <c r="H54" i="1" s="1"/>
  <c r="G53" i="1"/>
  <c r="H53" i="1" s="1"/>
  <c r="G68" i="1"/>
  <c r="H68" i="1" s="1"/>
  <c r="G52" i="1"/>
  <c r="H52" i="1" s="1"/>
  <c r="G36" i="1"/>
  <c r="H36" i="1" s="1"/>
  <c r="H72" i="1" l="1"/>
  <c r="H71" i="1"/>
  <c r="H55" i="1"/>
  <c r="K55" i="1"/>
  <c r="L19" i="1"/>
  <c r="H19" i="1"/>
  <c r="L44" i="1"/>
  <c r="H44" i="1"/>
  <c r="L67" i="1"/>
  <c r="H67" i="1"/>
  <c r="H70" i="1"/>
  <c r="L70" i="1"/>
  <c r="L72" i="1"/>
  <c r="L73" i="1"/>
  <c r="L71" i="1"/>
  <c r="L74" i="1"/>
  <c r="L22" i="1"/>
  <c r="L65" i="1"/>
  <c r="L23" i="1"/>
  <c r="L42" i="1"/>
  <c r="L49" i="1"/>
  <c r="L36" i="1"/>
  <c r="L64" i="1"/>
  <c r="L18" i="1"/>
  <c r="L40" i="1"/>
  <c r="L63" i="1"/>
  <c r="L13" i="1"/>
  <c r="L50" i="1"/>
  <c r="L68" i="1"/>
  <c r="L56" i="1"/>
  <c r="L20" i="1"/>
  <c r="L59" i="1"/>
  <c r="L45" i="1"/>
  <c r="L33" i="1"/>
  <c r="L66" i="1"/>
  <c r="L35" i="1"/>
  <c r="L37" i="1"/>
  <c r="L48" i="1"/>
  <c r="L26" i="1"/>
  <c r="L27" i="1"/>
  <c r="L62" i="1"/>
  <c r="L34" i="1"/>
  <c r="L52" i="1"/>
  <c r="L58" i="1"/>
  <c r="L43" i="1"/>
  <c r="L25" i="1"/>
  <c r="L69" i="1"/>
  <c r="K12" i="1"/>
  <c r="K30" i="1"/>
  <c r="L30" i="1"/>
  <c r="K29" i="1"/>
  <c r="L29" i="1"/>
  <c r="L61" i="1"/>
  <c r="L51" i="1"/>
  <c r="L38" i="1"/>
  <c r="L16" i="1"/>
  <c r="L46" i="1"/>
  <c r="K31" i="1"/>
  <c r="L31" i="1"/>
  <c r="L53" i="1"/>
  <c r="L41" i="1"/>
  <c r="K28" i="1"/>
  <c r="L28" i="1"/>
  <c r="L15" i="1"/>
  <c r="L14" i="1"/>
  <c r="L54" i="1"/>
  <c r="L57" i="1"/>
  <c r="L39" i="1"/>
  <c r="L55" i="1"/>
  <c r="L21" i="1"/>
  <c r="L24" i="1"/>
  <c r="L60" i="1"/>
  <c r="L32" i="1"/>
  <c r="L47" i="1"/>
  <c r="L17" i="1"/>
  <c r="K14" i="1"/>
  <c r="K13" i="1"/>
  <c r="J74" i="1"/>
  <c r="K15" i="1"/>
  <c r="K74" i="1"/>
  <c r="L12" i="1"/>
  <c r="L8" i="1"/>
  <c r="F8" i="1"/>
  <c r="K18" i="1" l="1"/>
  <c r="K17" i="1"/>
  <c r="K16" i="1"/>
  <c r="K19" i="1" l="1"/>
  <c r="K21" i="1"/>
  <c r="K20" i="1"/>
  <c r="K23" i="1" l="1"/>
  <c r="K24" i="1"/>
  <c r="K22" i="1"/>
  <c r="K25" i="1" l="1"/>
  <c r="K26" i="1"/>
  <c r="K27" i="1"/>
  <c r="K32" i="1" l="1"/>
  <c r="K33" i="1"/>
  <c r="K34" i="1" l="1"/>
  <c r="K35" i="1"/>
  <c r="K36" i="1"/>
  <c r="K39" i="1" l="1"/>
  <c r="K38" i="1"/>
  <c r="K37" i="1"/>
  <c r="K40" i="1" l="1"/>
  <c r="K41" i="1"/>
  <c r="K42" i="1"/>
  <c r="K45" i="1" l="1"/>
  <c r="K44" i="1"/>
  <c r="K43" i="1"/>
  <c r="K46" i="1" l="1"/>
  <c r="K47" i="1"/>
  <c r="K48" i="1"/>
  <c r="K49" i="1" l="1"/>
  <c r="K51" i="1"/>
  <c r="K50" i="1"/>
  <c r="K52" i="1" l="1"/>
  <c r="K53" i="1"/>
  <c r="K54" i="1"/>
  <c r="K56" i="1" l="1"/>
  <c r="K57" i="1"/>
  <c r="K58" i="1" l="1"/>
  <c r="K60" i="1"/>
  <c r="K59" i="1"/>
  <c r="K61" i="1" l="1"/>
  <c r="K62" i="1"/>
  <c r="K63" i="1"/>
  <c r="K64" i="1" l="1"/>
  <c r="K66" i="1"/>
  <c r="K65" i="1"/>
  <c r="K67" i="1" l="1"/>
  <c r="K68" i="1"/>
  <c r="K69" i="1"/>
  <c r="K71" i="1" l="1"/>
  <c r="J72" i="1"/>
  <c r="K70" i="1"/>
  <c r="J73" i="1" l="1"/>
  <c r="J76" i="1" s="1"/>
  <c r="K73" i="1"/>
  <c r="J77" i="1" l="1"/>
</calcChain>
</file>

<file path=xl/sharedStrings.xml><?xml version="1.0" encoding="utf-8"?>
<sst xmlns="http://schemas.openxmlformats.org/spreadsheetml/2006/main" count="397" uniqueCount="248">
  <si>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</si>
  <si>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</si>
  <si>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</si>
  <si>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</si>
  <si>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</si>
  <si>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</si>
  <si>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</si>
  <si>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</si>
  <si>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</si>
  <si>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 xml:space="preserve">CIENCIAS NAVALES PARA OFICIALES NAVALES </t>
  </si>
  <si>
    <t>Periodo de terminación:</t>
  </si>
  <si>
    <t>COD.</t>
  </si>
  <si>
    <t>PÉNSUM VIGENTE AÑO 2015</t>
  </si>
  <si>
    <t>PÉNSUM CURSADO</t>
  </si>
  <si>
    <t>CRÉDITOS</t>
  </si>
  <si>
    <t>NOTA</t>
  </si>
  <si>
    <t>HAB.</t>
  </si>
  <si>
    <t>Formación Básica</t>
  </si>
  <si>
    <t>CB109</t>
  </si>
  <si>
    <t>Álgebra Lineal</t>
  </si>
  <si>
    <t>CB112</t>
  </si>
  <si>
    <t>Cálculo Diferencial</t>
  </si>
  <si>
    <t>CB113</t>
  </si>
  <si>
    <t>Cálculo Integral</t>
  </si>
  <si>
    <t>CB405</t>
  </si>
  <si>
    <t>Estadística Descriptiva y Probabilidad</t>
  </si>
  <si>
    <t>CB402</t>
  </si>
  <si>
    <t>Estadística Inferencial</t>
  </si>
  <si>
    <t>CB100</t>
  </si>
  <si>
    <t>Fundamentos de Matemáticas</t>
  </si>
  <si>
    <t>CB211</t>
  </si>
  <si>
    <t>Física Mecánica - Laboratorio</t>
  </si>
  <si>
    <t>IN509</t>
  </si>
  <si>
    <t>Fundamento de Motores</t>
  </si>
  <si>
    <t>Formación Militar</t>
  </si>
  <si>
    <t>CN310</t>
  </si>
  <si>
    <t>Comunicaciones Básicas</t>
  </si>
  <si>
    <t>CN311</t>
  </si>
  <si>
    <t>Comunicaciones Electromagnéticas</t>
  </si>
  <si>
    <t>CN400</t>
  </si>
  <si>
    <t>Fundamentos de Sistema de Armas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</si>
  <si>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</si>
  <si>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</si>
  <si>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</si>
  <si>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</si>
  <si>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</si>
  <si>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</si>
  <si>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</si>
  <si>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</si>
  <si>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</si>
  <si>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</si>
  <si>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CN200</t>
  </si>
  <si>
    <t>Nociones de Táctica</t>
  </si>
  <si>
    <t>CN220</t>
  </si>
  <si>
    <t>Operaciones Navales</t>
  </si>
  <si>
    <t>CN101</t>
  </si>
  <si>
    <t>Orientación Naval</t>
  </si>
  <si>
    <t>CN404</t>
  </si>
  <si>
    <t>Sistema de Armas Electrónicas</t>
  </si>
  <si>
    <t>CN411</t>
  </si>
  <si>
    <t>Sistemas de Armas Sensoricas</t>
  </si>
  <si>
    <t>CN205</t>
  </si>
  <si>
    <t>Táctica Naval I</t>
  </si>
  <si>
    <t>CN204</t>
  </si>
  <si>
    <t>Táctica Naval II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</si>
  <si>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</si>
  <si>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</si>
  <si>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</si>
  <si>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</si>
  <si>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</si>
  <si>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</si>
  <si>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</si>
  <si>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</si>
  <si>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</si>
  <si>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</si>
  <si>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</si>
  <si>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</si>
  <si>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IN219</t>
  </si>
  <si>
    <t>Fundamentos de Estabilidad</t>
  </si>
  <si>
    <t>IN202</t>
  </si>
  <si>
    <t>Maquinaria Naval</t>
  </si>
  <si>
    <t>F. Profesional Espécifica</t>
  </si>
  <si>
    <t>AM701</t>
  </si>
  <si>
    <t>Logística General</t>
  </si>
  <si>
    <t>AM407</t>
  </si>
  <si>
    <t>Presupuesto y Tesorería</t>
  </si>
  <si>
    <t>AM401</t>
  </si>
  <si>
    <t>Principios de Contabilidad</t>
  </si>
  <si>
    <t>AM200</t>
  </si>
  <si>
    <t>Procesos Administrativos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</si>
  <si>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</si>
  <si>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</si>
  <si>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</si>
  <si>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</si>
  <si>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</si>
  <si>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</si>
  <si>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</si>
  <si>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</si>
  <si>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OF126</t>
  </si>
  <si>
    <t>Meteorología General</t>
  </si>
  <si>
    <t>OF201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</si>
  <si>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</si>
  <si>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</si>
  <si>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</si>
  <si>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</si>
  <si>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</si>
  <si>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</si>
  <si>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</si>
  <si>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</si>
  <si>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CS402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</si>
  <si>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</si>
  <si>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</si>
  <si>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</si>
  <si>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</si>
  <si>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</si>
  <si>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</si>
  <si>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</si>
  <si>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</si>
  <si>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</si>
  <si>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</si>
  <si>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</si>
  <si>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</si>
  <si>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</si>
  <si>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</si>
  <si>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</si>
  <si>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</si>
  <si>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</si>
  <si>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</si>
  <si>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</si>
  <si>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</si>
  <si>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</si>
  <si>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</si>
  <si>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</si>
  <si>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</si>
  <si>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</si>
  <si>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</si>
  <si>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</si>
  <si>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</si>
  <si>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Énfasis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</si>
  <si>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(11 créditos)</t>
    </r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</si>
  <si>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</si>
  <si>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</si>
  <si>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</si>
  <si>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N</t>
  </si>
  <si>
    <t>SPO</t>
  </si>
  <si>
    <t>SPA</t>
  </si>
  <si>
    <t>SPE</t>
  </si>
  <si>
    <t>CÓD</t>
  </si>
  <si>
    <t>ASIGNATURA</t>
  </si>
  <si>
    <t>CRÉD</t>
  </si>
  <si>
    <t>ING</t>
  </si>
  <si>
    <t>LA </t>
  </si>
  <si>
    <t>CÓDIGO</t>
  </si>
  <si>
    <t>CB101</t>
  </si>
  <si>
    <t>Matemáticas I</t>
  </si>
  <si>
    <t>CB102</t>
  </si>
  <si>
    <t>Matemáticas II</t>
  </si>
  <si>
    <t>CB401</t>
  </si>
  <si>
    <t xml:space="preserve">Estadística Descriptiva y Probabilidad </t>
  </si>
  <si>
    <t>CB201</t>
  </si>
  <si>
    <t>Física Mecánica</t>
  </si>
  <si>
    <t>IN220</t>
  </si>
  <si>
    <t>Motores</t>
  </si>
  <si>
    <t>IN201</t>
  </si>
  <si>
    <t>Fundamentos de Motores</t>
  </si>
  <si>
    <t>CN334</t>
  </si>
  <si>
    <t>Navegación III - Astronómica</t>
  </si>
  <si>
    <t>CN320</t>
  </si>
  <si>
    <t>CN326</t>
  </si>
  <si>
    <t>Navegación IV - Electrónica</t>
  </si>
  <si>
    <t>CN408</t>
  </si>
  <si>
    <t>CN402</t>
  </si>
  <si>
    <t>Sistema De Armas II (Sensoricas)</t>
  </si>
  <si>
    <t>CN202</t>
  </si>
  <si>
    <t xml:space="preserve">Táctica Naval I </t>
  </si>
  <si>
    <t>IM232</t>
  </si>
  <si>
    <t>IN500</t>
  </si>
  <si>
    <t>Estabilidad</t>
  </si>
  <si>
    <t>IN206</t>
  </si>
  <si>
    <t>AM201</t>
  </si>
  <si>
    <t>Administración General</t>
  </si>
  <si>
    <t>AM229</t>
  </si>
  <si>
    <t>AM601</t>
  </si>
  <si>
    <t>IN421</t>
  </si>
  <si>
    <t>Herramientas computacionales</t>
  </si>
  <si>
    <t>IN422</t>
  </si>
  <si>
    <t>OF101</t>
  </si>
  <si>
    <t>OF102</t>
  </si>
  <si>
    <t xml:space="preserve">Oceanografía General </t>
  </si>
  <si>
    <t>CN605</t>
  </si>
  <si>
    <t>CS171</t>
  </si>
  <si>
    <t>DH y DIH - Conflictos Armados</t>
  </si>
  <si>
    <t>CS101</t>
  </si>
  <si>
    <t>Derechos Humanos</t>
  </si>
  <si>
    <t>CS203</t>
  </si>
  <si>
    <t xml:space="preserve">Ética Profesional </t>
  </si>
  <si>
    <t>CS132</t>
  </si>
  <si>
    <t>Liderazgo Táctico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</si>
  <si>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</si>
  <si>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</si>
  <si>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</si>
  <si>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OF115</t>
  </si>
  <si>
    <t>Introducción a la Oceanografía Física</t>
  </si>
  <si>
    <t>ESPECIALIDAD:</t>
  </si>
  <si>
    <t>Decano Facultad Ciencias Navales</t>
  </si>
  <si>
    <t>IN126</t>
  </si>
  <si>
    <t>IN449</t>
  </si>
  <si>
    <t>Introducción a la Electrónica</t>
  </si>
  <si>
    <t>IN611</t>
  </si>
  <si>
    <t>IN600</t>
  </si>
  <si>
    <t>OF500</t>
  </si>
  <si>
    <t>Meteorología Marina</t>
  </si>
  <si>
    <t>OF123</t>
  </si>
  <si>
    <t>Oceanografía Biológica</t>
  </si>
  <si>
    <t>OF300</t>
  </si>
  <si>
    <t>Hidrografía</t>
  </si>
  <si>
    <t>CS110</t>
  </si>
  <si>
    <t>Legislación Ambiental Marina</t>
  </si>
  <si>
    <t>OF200</t>
  </si>
  <si>
    <t>Instrumentación Oceanográfica</t>
  </si>
  <si>
    <t>OF314</t>
  </si>
  <si>
    <t>Gestión Ambiental</t>
  </si>
  <si>
    <t>Procesos Judiciales y Disciplinarios</t>
  </si>
  <si>
    <t>AM217</t>
  </si>
  <si>
    <t>Sistemas Integrados de Gestión</t>
  </si>
  <si>
    <t>AM101</t>
  </si>
  <si>
    <t>Economía I Principios</t>
  </si>
  <si>
    <t>Electricidad I Circuitos de Corriente Directa y Laboratorio</t>
  </si>
  <si>
    <t>Electricidad II Circuitos de Corriente Alterna y Laboratorio</t>
  </si>
  <si>
    <t>Estática</t>
  </si>
  <si>
    <t>Física Eléctrica</t>
  </si>
  <si>
    <t>Principios de Mantenimiento</t>
  </si>
  <si>
    <t>Principios de Economía</t>
  </si>
  <si>
    <t>AM202</t>
  </si>
  <si>
    <t>Administración II (Planeación y Organización)</t>
  </si>
  <si>
    <t>AM102</t>
  </si>
  <si>
    <t>Microeconomía</t>
  </si>
  <si>
    <t>CS145</t>
  </si>
  <si>
    <t>IN125</t>
  </si>
  <si>
    <t>AM203</t>
  </si>
  <si>
    <t>AM224</t>
  </si>
  <si>
    <t>Contratación Estatal</t>
  </si>
  <si>
    <t>Gestión del Talento Humano</t>
  </si>
  <si>
    <t>CN203</t>
  </si>
  <si>
    <t>CB213</t>
  </si>
  <si>
    <t>AM116</t>
  </si>
  <si>
    <t>Validación</t>
  </si>
  <si>
    <t>Jefe Programa Ciencias Navales para Oficiales Navales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</si>
</sst>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0.000"/>
    <numFmt numFmtId="165" formatCode="#,##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indexed="64"/>
      </left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9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3" fillId="0" borderId="12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8" xfId="0" applyFill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10" fillId="2" borderId="32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1" fontId="10" fillId="2" borderId="25" xfId="0" applyNumberFormat="1" applyFont="1" applyFill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7" xfId="0" applyFont="1" applyBorder="1" applyAlignment="1">
      <alignment horizontal="center" vertical="center" textRotation="90"/>
    </xf>
    <xf numFmtId="0" fontId="9" fillId="0" borderId="37" xfId="0" applyFont="1" applyBorder="1" applyAlignment="1">
      <alignment horizontal="center" vertical="center"/>
    </xf>
    <xf numFmtId="0" fontId="9" fillId="0" borderId="37" xfId="0" applyFont="1" applyBorder="1" applyAlignment="1">
      <alignment horizontal="left" vertical="center"/>
    </xf>
    <xf numFmtId="1" fontId="9" fillId="0" borderId="37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1" fontId="11" fillId="0" borderId="38" xfId="2" applyNumberFormat="1" applyFont="1" applyBorder="1" applyAlignment="1">
      <alignment horizontal="center" vertical="center"/>
    </xf>
    <xf numFmtId="164" fontId="11" fillId="0" borderId="38" xfId="2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1" fontId="11" fillId="0" borderId="44" xfId="2" applyNumberFormat="1" applyFont="1" applyBorder="1" applyAlignment="1">
      <alignment horizontal="center" vertical="center"/>
    </xf>
    <xf numFmtId="164" fontId="11" fillId="0" borderId="44" xfId="2" applyNumberFormat="1" applyFont="1" applyBorder="1" applyAlignment="1">
      <alignment horizontal="center" vertical="center"/>
    </xf>
    <xf numFmtId="164" fontId="9" fillId="0" borderId="44" xfId="0" applyNumberFormat="1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1" fontId="11" fillId="0" borderId="46" xfId="2" applyNumberFormat="1" applyFont="1" applyBorder="1" applyAlignment="1">
      <alignment horizontal="center" vertical="center"/>
    </xf>
    <xf numFmtId="164" fontId="11" fillId="0" borderId="46" xfId="2" applyNumberFormat="1" applyFont="1" applyBorder="1" applyAlignment="1">
      <alignment horizontal="center" vertical="center"/>
    </xf>
    <xf numFmtId="164" fontId="9" fillId="0" borderId="46" xfId="0" applyNumberFormat="1" applyFont="1" applyBorder="1" applyAlignment="1">
      <alignment horizontal="center" vertical="center"/>
    </xf>
    <xf numFmtId="14" fontId="9" fillId="0" borderId="49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3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9" xfId="0" applyFont="1" applyBorder="1" applyAlignment="1">
      <alignment horizontal="center" vertical="center" textRotation="90"/>
    </xf>
    <xf numFmtId="0" fontId="6" fillId="0" borderId="59" xfId="0" applyFont="1" applyBorder="1" applyAlignment="1">
      <alignment horizontal="center" vertical="center"/>
    </xf>
    <xf numFmtId="0" fontId="6" fillId="0" borderId="59" xfId="0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 textRotation="90"/>
    </xf>
    <xf numFmtId="0" fontId="6" fillId="0" borderId="66" xfId="0" applyFont="1" applyBorder="1" applyAlignment="1">
      <alignment horizontal="center" vertical="center"/>
    </xf>
    <xf numFmtId="0" fontId="6" fillId="0" borderId="66" xfId="0" applyFont="1" applyBorder="1" applyAlignment="1">
      <alignment horizontal="left" vertical="center"/>
    </xf>
    <xf numFmtId="1" fontId="6" fillId="0" borderId="66" xfId="0" applyNumberFormat="1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61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65" fontId="2" fillId="7" borderId="10" xfId="0" applyNumberFormat="1" applyFont="1" applyFill="1" applyBorder="1" applyAlignment="1" applyProtection="1">
      <alignment horizontal="center" vertical="center"/>
      <protection locked="0"/>
    </xf>
    <xf numFmtId="165" fontId="2" fillId="7" borderId="11" xfId="0" applyNumberFormat="1" applyFont="1" applyFill="1" applyBorder="1" applyAlignment="1" applyProtection="1">
      <alignment horizontal="center" vertical="center"/>
      <protection locked="0"/>
    </xf>
    <xf numFmtId="165" fontId="2" fillId="7" borderId="68" xfId="0" applyNumberFormat="1" applyFont="1" applyFill="1" applyBorder="1" applyAlignment="1" applyProtection="1">
      <alignment horizontal="center" vertical="center"/>
      <protection locked="0"/>
    </xf>
    <xf numFmtId="0" fontId="10" fillId="0" borderId="48" xfId="0" applyFont="1" applyBorder="1" applyAlignment="1">
      <alignment horizontal="right" vertical="center"/>
    </xf>
    <xf numFmtId="0" fontId="9" fillId="0" borderId="31" xfId="0" applyFont="1" applyBorder="1" applyAlignment="1">
      <alignment horizontal="left" vertical="center" indent="1"/>
    </xf>
    <xf numFmtId="0" fontId="17" fillId="0" borderId="61" xfId="0" applyFont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0" fontId="10" fillId="2" borderId="32" xfId="1" applyNumberFormat="1" applyFont="1" applyFill="1" applyBorder="1" applyAlignment="1">
      <alignment horizontal="left" vertical="center"/>
    </xf>
    <xf numFmtId="0" fontId="10" fillId="2" borderId="37" xfId="1" applyNumberFormat="1" applyFont="1" applyFill="1" applyBorder="1" applyAlignment="1">
      <alignment horizontal="left" vertical="center"/>
    </xf>
    <xf numFmtId="0" fontId="11" fillId="0" borderId="47" xfId="1" applyNumberFormat="1" applyFont="1" applyBorder="1" applyAlignment="1">
      <alignment horizontal="left" vertical="center"/>
    </xf>
    <xf numFmtId="0" fontId="11" fillId="0" borderId="55" xfId="1" applyNumberFormat="1" applyFont="1" applyBorder="1" applyAlignment="1">
      <alignment horizontal="left" vertical="center"/>
    </xf>
    <xf numFmtId="0" fontId="11" fillId="0" borderId="42" xfId="1" applyNumberFormat="1" applyFont="1" applyBorder="1" applyAlignment="1">
      <alignment horizontal="left" vertical="center"/>
    </xf>
    <xf numFmtId="0" fontId="11" fillId="0" borderId="49" xfId="1" applyNumberFormat="1" applyFont="1" applyBorder="1" applyAlignment="1">
      <alignment horizontal="left" vertical="center"/>
    </xf>
    <xf numFmtId="0" fontId="6" fillId="0" borderId="25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3" xfId="1" applyNumberFormat="1" applyFont="1" applyBorder="1" applyAlignment="1">
      <alignment horizontal="left" vertical="center" wrapText="1" indent="1"/>
    </xf>
    <xf numFmtId="0" fontId="7" fillId="0" borderId="2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43" xfId="0" applyFont="1" applyBorder="1" applyAlignment="1">
      <alignment horizontal="left" vertical="center"/>
    </xf>
    <xf numFmtId="0" fontId="9" fillId="0" borderId="49" xfId="0" applyFont="1" applyBorder="1" applyAlignment="1">
      <alignment horizontal="left" vertical="center"/>
    </xf>
    <xf numFmtId="0" fontId="10" fillId="0" borderId="42" xfId="1" applyNumberFormat="1" applyFont="1" applyBorder="1" applyAlignment="1">
      <alignment horizontal="left" vertical="center" indent="1"/>
    </xf>
    <xf numFmtId="0" fontId="10" fillId="0" borderId="43" xfId="1" applyNumberFormat="1" applyFont="1" applyBorder="1" applyAlignment="1">
      <alignment horizontal="left" vertical="center" indent="1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4" fillId="0" borderId="31" xfId="0" applyFont="1" applyBorder="1" applyAlignment="1">
      <alignment horizontal="center" vertical="center" textRotation="90"/>
    </xf>
    <xf numFmtId="0" fontId="10" fillId="0" borderId="30" xfId="1" applyNumberFormat="1" applyFont="1" applyBorder="1" applyAlignment="1">
      <alignment horizontal="left" vertical="center" indent="1"/>
    </xf>
    <xf numFmtId="0" fontId="10" fillId="0" borderId="2" xfId="1" applyNumberFormat="1" applyFont="1" applyBorder="1" applyAlignment="1">
      <alignment horizontal="left" vertical="center" indent="1"/>
    </xf>
    <xf numFmtId="0" fontId="9" fillId="0" borderId="31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49" xfId="0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1" xfId="0" applyNumberFormat="1" applyFont="1" applyFill="1" applyBorder="1" applyAlignment="1">
      <alignment horizontal="center" vertical="center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3" xfId="1" applyNumberFormat="1" applyFont="1" applyFill="1" applyBorder="1" applyAlignment="1">
      <alignment horizontal="right" vertical="center" indent="1"/>
    </xf>
    <xf numFmtId="0" fontId="10" fillId="2" borderId="30" xfId="1" applyNumberFormat="1" applyFont="1" applyFill="1" applyBorder="1" applyAlignment="1">
      <alignment horizontal="right" vertical="center" indent="1"/>
    </xf>
    <xf numFmtId="0" fontId="10" fillId="2" borderId="2" xfId="1" applyNumberFormat="1" applyFont="1" applyFill="1" applyBorder="1" applyAlignment="1">
      <alignment horizontal="right" vertical="center" indent="1"/>
    </xf>
    <xf numFmtId="0" fontId="9" fillId="0" borderId="26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7" xfId="0" applyFont="1" applyBorder="1" applyAlignment="1">
      <alignment horizontal="left" vertical="center" indent="1"/>
    </xf>
    <xf numFmtId="15" fontId="13" fillId="0" borderId="30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1" xfId="0" applyNumberFormat="1" applyFont="1" applyBorder="1" applyAlignment="1">
      <alignment horizontal="left" vertical="top" indent="1"/>
    </xf>
    <xf numFmtId="0" fontId="15" fillId="0" borderId="1" xfId="0" applyFont="1" applyBorder="1" applyAlignment="1">
      <alignment horizontal="center" vertical="center"/>
    </xf>
    <xf numFmtId="0" fontId="12" fillId="2" borderId="52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9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1" xfId="2" applyFont="1" applyBorder="1" applyAlignment="1">
      <alignment horizontal="center" vertical="center"/>
    </xf>
    <xf numFmtId="0" fontId="9" fillId="0" borderId="48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8">
    <dxf>
      <font>
        <color rgb="FFFF0000"/>
      </font>
    </dxf>
    <dxf>
      <font>
        <color rgb="FFFFB3B3"/>
      </font>
      <fill>
        <patternFill>
          <bgColor rgb="FFFFB3B3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ill>
        <patternFill>
          <bgColor rgb="FFFFC1C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658534</xdr:colOff>
      <xdr:row>20</xdr:row>
      <xdr:rowOff>14243</xdr:rowOff>
    </xdr:from>
    <xdr:to>
      <xdr:col>10</xdr:col>
      <xdr:colOff>323850</xdr:colOff>
      <xdr:row>68</xdr:row>
      <xdr:rowOff>19050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462BC81-94C7-42F2-82A6-38EB391EC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8834" y="4262393"/>
          <a:ext cx="5742266" cy="8234407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304506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11253</xdr:colOff>
      <xdr:row>0</xdr:row>
      <xdr:rowOff>0</xdr:rowOff>
    </xdr:from>
    <xdr:to>
      <xdr:col>13</xdr:col>
      <xdr:colOff>33130</xdr:colOff>
      <xdr:row>0</xdr:row>
      <xdr:rowOff>556590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462366" y="0"/>
          <a:ext cx="8569529" cy="556590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57014</xdr:colOff>
      <xdr:row>0</xdr:row>
      <xdr:rowOff>56963</xdr:rowOff>
    </xdr:from>
    <xdr:to>
      <xdr:col>4</xdr:col>
      <xdr:colOff>628680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2011710" y="56963"/>
          <a:ext cx="1028866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79259</xdr:colOff>
      <xdr:row>0</xdr:row>
      <xdr:rowOff>56963</xdr:rowOff>
    </xdr:from>
    <xdr:to>
      <xdr:col>5</xdr:col>
      <xdr:colOff>1140481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3273033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445522</xdr:colOff>
      <xdr:row>0</xdr:row>
      <xdr:rowOff>56963</xdr:rowOff>
    </xdr:from>
    <xdr:to>
      <xdr:col>11</xdr:col>
      <xdr:colOff>364435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350444" y="56963"/>
          <a:ext cx="1111608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  <a:endParaRPr lang="es-CO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725138</xdr:colOff>
      <xdr:row>0</xdr:row>
      <xdr:rowOff>56963</xdr:rowOff>
    </xdr:from>
    <xdr:to>
      <xdr:col>9</xdr:col>
      <xdr:colOff>278296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7092808" y="56963"/>
          <a:ext cx="1090410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1360636</xdr:colOff>
      <xdr:row>0</xdr:row>
      <xdr:rowOff>56963</xdr:rowOff>
    </xdr:from>
    <xdr:to>
      <xdr:col>7</xdr:col>
      <xdr:colOff>284921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554410" y="56963"/>
          <a:ext cx="1104268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89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356577</xdr:colOff>
      <xdr:row>0</xdr:row>
      <xdr:rowOff>56962</xdr:rowOff>
    </xdr:from>
    <xdr:to>
      <xdr:col>8</xdr:col>
      <xdr:colOff>622852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730334" y="56962"/>
          <a:ext cx="1260188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220980</xdr:colOff>
          <xdr:row>13</xdr:row>
          <xdr:rowOff>175260</xdr:rowOff>
        </xdr:from>
        <xdr:to>
          <xdr:col>14</xdr:col>
          <xdr:colOff>1592580</xdr:colOff>
          <xdr:row>17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0"/>
  <sheetViews>
    <sheetView showGridLines="0" showRowColHeaders="0" tabSelected="1" showRuler="0" zoomScale="115" zoomScaleNormal="115" zoomScaleSheetLayoutView="100" workbookViewId="0">
      <pane ySplit="1" topLeftCell="A2" activePane="bottomLeft" state="frozen"/>
      <selection pane="bottomLeft" activeCell="G70" sqref="G70"/>
    </sheetView>
  </sheetViews>
  <sheetFormatPr baseColWidth="10" defaultColWidth="11.109375" defaultRowHeight="12" x14ac:dyDescent="0.3"/>
  <cols>
    <col min="1" max="1" width="21.109375" style="107" customWidth="1"/>
    <col min="2" max="2" width="4.44140625" style="84" customWidth="1"/>
    <col min="3" max="3" width="2.88671875" style="85" customWidth="1"/>
    <col min="4" max="4" width="6.6640625" style="84" customWidth="1"/>
    <col min="5" max="5" width="11.44140625" style="86" customWidth="1"/>
    <col min="6" max="6" width="25.109375" style="86" customWidth="1"/>
    <col min="7" max="7" width="6.6640625" style="84" customWidth="1"/>
    <col min="8" max="8" width="14.44140625" style="86" customWidth="1"/>
    <col min="9" max="9" width="22.44140625" style="86" customWidth="1"/>
    <col min="10" max="10" width="8.6640625" style="87" customWidth="1"/>
    <col min="11" max="12" width="8.6640625" style="84" customWidth="1"/>
    <col min="13" max="13" width="4.44140625" style="84" customWidth="1"/>
    <col min="14" max="14" width="5.44140625" style="84" customWidth="1"/>
    <col min="15" max="16384" width="11.109375" style="84"/>
  </cols>
  <sheetData>
    <row r="1" spans="1:13" ht="73.2" customHeight="1" x14ac:dyDescent="0.3">
      <c r="A1" s="114" t="s">
        <v>246</v>
      </c>
    </row>
    <row r="2" spans="1:13" ht="25.95" customHeight="1" x14ac:dyDescent="0.3">
      <c r="B2" s="92"/>
      <c r="C2" s="88"/>
      <c r="D2" s="89"/>
      <c r="E2" s="90"/>
      <c r="F2" s="90"/>
      <c r="G2" s="89"/>
      <c r="H2" s="90"/>
      <c r="I2" s="90"/>
      <c r="J2" s="91"/>
      <c r="K2" s="89"/>
      <c r="L2" s="89"/>
      <c r="M2" s="94"/>
    </row>
    <row r="3" spans="1:13" ht="12.15" customHeight="1" x14ac:dyDescent="0.3">
      <c r="B3" s="93"/>
      <c r="C3" s="143" t="s">
        <v>0</v>
      </c>
      <c r="D3" s="144"/>
      <c r="E3" s="127" t="s">
        <v>1</v>
      </c>
      <c r="F3" s="128"/>
      <c r="G3" s="128"/>
      <c r="H3" s="128"/>
      <c r="I3" s="129"/>
      <c r="J3" s="123" t="s">
        <v>2</v>
      </c>
      <c r="K3" s="123"/>
      <c r="L3" s="123"/>
      <c r="M3" s="95"/>
    </row>
    <row r="4" spans="1:13" ht="12.15" customHeight="1" x14ac:dyDescent="0.3">
      <c r="B4" s="93"/>
      <c r="C4" s="145"/>
      <c r="D4" s="146"/>
      <c r="E4" s="130"/>
      <c r="F4" s="131"/>
      <c r="G4" s="131"/>
      <c r="H4" s="131"/>
      <c r="I4" s="132"/>
      <c r="J4" s="124"/>
      <c r="K4" s="124"/>
      <c r="L4" s="124"/>
      <c r="M4" s="95"/>
    </row>
    <row r="5" spans="1:13" ht="12.15" customHeight="1" x14ac:dyDescent="0.3">
      <c r="B5" s="93"/>
      <c r="C5" s="145"/>
      <c r="D5" s="146"/>
      <c r="E5" s="133" t="s">
        <v>3</v>
      </c>
      <c r="F5" s="134"/>
      <c r="G5" s="134"/>
      <c r="H5" s="134"/>
      <c r="I5" s="135"/>
      <c r="J5" s="153" t="s">
        <v>200</v>
      </c>
      <c r="K5" s="154"/>
      <c r="L5" s="151" t="s">
        <v>4</v>
      </c>
      <c r="M5" s="95"/>
    </row>
    <row r="6" spans="1:13" ht="12.15" customHeight="1" x14ac:dyDescent="0.3">
      <c r="B6" s="93"/>
      <c r="C6" s="147"/>
      <c r="D6" s="148"/>
      <c r="E6" s="136" t="s">
        <v>5</v>
      </c>
      <c r="F6" s="137"/>
      <c r="G6" s="137"/>
      <c r="H6" s="137"/>
      <c r="I6" s="138"/>
      <c r="J6" s="155"/>
      <c r="K6" s="156"/>
      <c r="L6" s="152"/>
      <c r="M6" s="95"/>
    </row>
    <row r="7" spans="1:13" ht="8.6999999999999993" customHeight="1" x14ac:dyDescent="0.3">
      <c r="B7" s="93"/>
      <c r="C7" s="6"/>
      <c r="D7" s="2"/>
      <c r="E7" s="2"/>
      <c r="F7" s="2"/>
      <c r="G7" s="2"/>
      <c r="H7" s="2"/>
      <c r="I7" s="2"/>
      <c r="J7" s="64"/>
      <c r="K7" s="2"/>
      <c r="L7" s="2"/>
      <c r="M7" s="95"/>
    </row>
    <row r="8" spans="1:13" ht="14.4" customHeight="1" x14ac:dyDescent="0.3">
      <c r="B8" s="93"/>
      <c r="C8" s="141" t="s">
        <v>6</v>
      </c>
      <c r="D8" s="142"/>
      <c r="E8" s="142"/>
      <c r="F8" s="139" t="str">
        <f>Notas!B4&amp;" "&amp;Notas!B3</f>
        <v xml:space="preserve"> </v>
      </c>
      <c r="G8" s="139"/>
      <c r="H8" s="139"/>
      <c r="I8" s="140"/>
      <c r="J8" s="126" t="s">
        <v>7</v>
      </c>
      <c r="K8" s="126"/>
      <c r="L8" s="63">
        <f ca="1">TODAY()</f>
        <v>46147</v>
      </c>
      <c r="M8" s="95"/>
    </row>
    <row r="9" spans="1:13" ht="14.4" customHeight="1" x14ac:dyDescent="0.3">
      <c r="B9" s="93"/>
      <c r="C9" s="149" t="s">
        <v>8</v>
      </c>
      <c r="D9" s="150"/>
      <c r="E9" s="150"/>
      <c r="F9" s="191" t="s">
        <v>9</v>
      </c>
      <c r="G9" s="191"/>
      <c r="H9" s="111" t="s">
        <v>203</v>
      </c>
      <c r="I9" s="112" t="str">
        <f>MID(Notas!B6,41,3)</f>
        <v/>
      </c>
      <c r="J9" s="125" t="s">
        <v>10</v>
      </c>
      <c r="K9" s="125"/>
      <c r="L9" s="39" t="str">
        <f>LEFT(Notas!A9,8)</f>
        <v/>
      </c>
      <c r="M9" s="95"/>
    </row>
    <row r="10" spans="1:13" ht="8.6999999999999993" customHeight="1" x14ac:dyDescent="0.3">
      <c r="B10" s="93"/>
      <c r="C10" s="6"/>
      <c r="D10" s="41"/>
      <c r="E10" s="43"/>
      <c r="F10" s="43"/>
      <c r="G10" s="41"/>
      <c r="H10" s="65"/>
      <c r="I10" s="43"/>
      <c r="J10" s="42"/>
      <c r="K10" s="41"/>
      <c r="L10" s="41"/>
      <c r="M10" s="95"/>
    </row>
    <row r="11" spans="1:13" ht="18" customHeight="1" x14ac:dyDescent="0.3">
      <c r="B11" s="93"/>
      <c r="C11" s="180" t="s">
        <v>11</v>
      </c>
      <c r="D11" s="181"/>
      <c r="E11" s="117" t="s">
        <v>12</v>
      </c>
      <c r="F11" s="118"/>
      <c r="G11" s="36" t="s">
        <v>11</v>
      </c>
      <c r="H11" s="117" t="s">
        <v>13</v>
      </c>
      <c r="I11" s="118"/>
      <c r="J11" s="38" t="s">
        <v>14</v>
      </c>
      <c r="K11" s="37" t="s">
        <v>15</v>
      </c>
      <c r="L11" s="37" t="s">
        <v>16</v>
      </c>
      <c r="M11" s="95"/>
    </row>
    <row r="12" spans="1:13" ht="14.25" customHeight="1" x14ac:dyDescent="0.3">
      <c r="B12" s="93"/>
      <c r="C12" s="157" t="s">
        <v>17</v>
      </c>
      <c r="D12" s="48" t="s">
        <v>18</v>
      </c>
      <c r="E12" s="121" t="s">
        <v>19</v>
      </c>
      <c r="F12" s="122"/>
      <c r="G12" s="49" t="str">
        <f>IF($L$9="","",IFERROR(VLOOKUP(IFERROR(VLOOKUP(D12,Notas!B:B,1,FALSE),VLOOKUP(D12,Equivalencia!A:F,5,FALSE)),Notas!B:B,1,FALSE),VLOOKUP(D12,Equivalencia!A:H,8,FALSE)))</f>
        <v/>
      </c>
      <c r="H12" s="121" t="str">
        <f>IFERROR(IF($L$9="","",IFERROR(IFERROR(VLOOKUP(G12,Equivalencia!A:B,2,FALSE),VLOOKUP(G12,Equivalencia!E:F,2,FALSE)),VLOOKUP(G12,Equivalencia!H:I,2,FALSE))),"")</f>
        <v/>
      </c>
      <c r="I12" s="122"/>
      <c r="J12" s="50">
        <v>2</v>
      </c>
      <c r="K12" s="51" t="str">
        <f>IFERROR(VLOOKUP(G12,Notas!B:K,8,FALSE)/1000,"")</f>
        <v/>
      </c>
      <c r="L12" s="52" t="str">
        <f>IFERROR(IF(VLOOKUP(G12,Notas!B:K,9,FALSE)=".000","",VLOOKUP(G12,Notas!B:K,9,FALSE)/1000),"")</f>
        <v/>
      </c>
      <c r="M12" s="95"/>
    </row>
    <row r="13" spans="1:13" ht="14.25" customHeight="1" x14ac:dyDescent="0.3">
      <c r="B13" s="93"/>
      <c r="C13" s="158"/>
      <c r="D13" s="53" t="s">
        <v>20</v>
      </c>
      <c r="E13" s="115" t="s">
        <v>21</v>
      </c>
      <c r="F13" s="116"/>
      <c r="G13" s="54" t="str">
        <f>IF($L$9="","",IFERROR(VLOOKUP(IFERROR(VLOOKUP(D13,Notas!B:B,1,FALSE),VLOOKUP(D13,Equivalencia!A:F,5,FALSE)),Notas!B:B,1,FALSE),VLOOKUP(D13,Equivalencia!A:H,8,FALSE)))</f>
        <v/>
      </c>
      <c r="H13" s="115" t="str">
        <f>IFERROR(IF($L$9="","",IFERROR(IFERROR(VLOOKUP(G13,Equivalencia!A:B,2,FALSE),VLOOKUP(G13,Equivalencia!E:F,2,FALSE)),VLOOKUP(G13,Equivalencia!H:I,2,FALSE))),"")</f>
        <v/>
      </c>
      <c r="I13" s="116"/>
      <c r="J13" s="55">
        <v>4</v>
      </c>
      <c r="K13" s="56" t="str">
        <f>IFERROR(VLOOKUP(G13,Notas!B:K,8,FALSE)/1000,"")</f>
        <v/>
      </c>
      <c r="L13" s="57" t="str">
        <f>IFERROR(IF(VLOOKUP(G13,Notas!B:K,9,FALSE)=".000","",VLOOKUP(G13,Notas!B:K,9,FALSE)/1000),"")</f>
        <v/>
      </c>
      <c r="M13" s="95"/>
    </row>
    <row r="14" spans="1:13" ht="14.25" customHeight="1" x14ac:dyDescent="0.3">
      <c r="B14" s="93"/>
      <c r="C14" s="158"/>
      <c r="D14" s="53" t="s">
        <v>22</v>
      </c>
      <c r="E14" s="115" t="s">
        <v>23</v>
      </c>
      <c r="F14" s="116"/>
      <c r="G14" s="54" t="str">
        <f>IF($L$9="","",IFERROR(VLOOKUP(IFERROR(VLOOKUP(D14,Notas!B:B,1,FALSE),VLOOKUP(D14,Equivalencia!A:F,5,FALSE)),Notas!B:B,1,FALSE),VLOOKUP(D14,Equivalencia!A:H,8,FALSE)))</f>
        <v/>
      </c>
      <c r="H14" s="115" t="str">
        <f>IFERROR(IF($L$9="","",IFERROR(IFERROR(VLOOKUP(G14,Equivalencia!A:B,2,FALSE),VLOOKUP(G14,Equivalencia!E:F,2,FALSE)),VLOOKUP(G14,Equivalencia!H:I,2,FALSE))),"")</f>
        <v/>
      </c>
      <c r="I14" s="116"/>
      <c r="J14" s="55">
        <v>4</v>
      </c>
      <c r="K14" s="56" t="str">
        <f>IFERROR(VLOOKUP(G14,Notas!B:K,8,FALSE)/1000,"")</f>
        <v/>
      </c>
      <c r="L14" s="57" t="str">
        <f>IFERROR(IF(VLOOKUP(G14,Notas!B:K,9,FALSE)=".000","",VLOOKUP(G14,Notas!B:K,9,FALSE)/1000),"")</f>
        <v/>
      </c>
      <c r="M14" s="95"/>
    </row>
    <row r="15" spans="1:13" ht="14.25" customHeight="1" x14ac:dyDescent="0.3">
      <c r="B15" s="93"/>
      <c r="C15" s="158"/>
      <c r="D15" s="53" t="s">
        <v>24</v>
      </c>
      <c r="E15" s="115" t="s">
        <v>25</v>
      </c>
      <c r="F15" s="116"/>
      <c r="G15" s="54" t="str">
        <f>IF($L$9="","",IFERROR(VLOOKUP(IFERROR(VLOOKUP(D15,Notas!B:B,1,FALSE),VLOOKUP(D15,Equivalencia!A:F,5,FALSE)),Notas!B:B,1,FALSE),VLOOKUP(D15,Equivalencia!A:H,8,FALSE)))</f>
        <v/>
      </c>
      <c r="H15" s="115" t="str">
        <f>IFERROR(IF($L$9="","",IFERROR(IFERROR(VLOOKUP(G15,Equivalencia!A:B,2,FALSE),VLOOKUP(G15,Equivalencia!E:F,2,FALSE)),VLOOKUP(G15,Equivalencia!H:I,2,FALSE))),"")</f>
        <v/>
      </c>
      <c r="I15" s="116"/>
      <c r="J15" s="55">
        <v>3</v>
      </c>
      <c r="K15" s="56" t="str">
        <f>IFERROR(VLOOKUP(G15,Notas!B:K,8,FALSE)/1000,"")</f>
        <v/>
      </c>
      <c r="L15" s="57" t="str">
        <f>IFERROR(IF(VLOOKUP(G15,Notas!B:K,9,FALSE)=".000","",VLOOKUP(G15,Notas!B:K,9,FALSE)/1000),"")</f>
        <v/>
      </c>
      <c r="M15" s="95"/>
    </row>
    <row r="16" spans="1:13" ht="14.25" customHeight="1" x14ac:dyDescent="0.3">
      <c r="B16" s="93"/>
      <c r="C16" s="158"/>
      <c r="D16" s="53" t="s">
        <v>26</v>
      </c>
      <c r="E16" s="115" t="s">
        <v>27</v>
      </c>
      <c r="F16" s="116"/>
      <c r="G16" s="54" t="str">
        <f>IF($L$9="","",IFERROR(VLOOKUP(IFERROR(VLOOKUP(D16,Notas!B:B,1,FALSE),VLOOKUP(D16,Equivalencia!A:F,5,FALSE)),Notas!B:B,1,FALSE),VLOOKUP(D16,Equivalencia!A:H,8,FALSE)))</f>
        <v/>
      </c>
      <c r="H16" s="115" t="str">
        <f>IFERROR(IF($L$9="","",IFERROR(IFERROR(VLOOKUP(G16,Equivalencia!A:B,2,FALSE),VLOOKUP(G16,Equivalencia!E:F,2,FALSE)),VLOOKUP(G16,Equivalencia!H:I,2,FALSE))),"")</f>
        <v/>
      </c>
      <c r="I16" s="116"/>
      <c r="J16" s="55">
        <v>3</v>
      </c>
      <c r="K16" s="56" t="str">
        <f>IFERROR(VLOOKUP(G16,Notas!B:K,8,FALSE)/1000,"")</f>
        <v/>
      </c>
      <c r="L16" s="57" t="str">
        <f>IFERROR(IF(VLOOKUP(G16,Notas!B:K,9,FALSE)=".000","",VLOOKUP(G16,Notas!B:K,9,FALSE)/1000),"")</f>
        <v/>
      </c>
      <c r="M16" s="95"/>
    </row>
    <row r="17" spans="2:13" ht="14.25" customHeight="1" x14ac:dyDescent="0.3">
      <c r="B17" s="93"/>
      <c r="C17" s="158"/>
      <c r="D17" s="53" t="s">
        <v>28</v>
      </c>
      <c r="E17" s="115" t="s">
        <v>29</v>
      </c>
      <c r="F17" s="116"/>
      <c r="G17" s="54" t="str">
        <f>IF($L$9="","",IFERROR(VLOOKUP(IFERROR(VLOOKUP(D17,Notas!B:B,1,FALSE),VLOOKUP(D17,Equivalencia!A:F,5,FALSE)),Notas!B:B,1,FALSE),VLOOKUP(D17,Equivalencia!A:H,8,FALSE)))</f>
        <v/>
      </c>
      <c r="H17" s="115" t="str">
        <f>IFERROR(IF($L$9="","",IFERROR(IFERROR(VLOOKUP(G17,Equivalencia!A:B,2,FALSE),VLOOKUP(G17,Equivalencia!E:F,2,FALSE)),VLOOKUP(G17,Equivalencia!H:I,2,FALSE))),"")</f>
        <v/>
      </c>
      <c r="I17" s="116"/>
      <c r="J17" s="55">
        <v>2</v>
      </c>
      <c r="K17" s="56" t="str">
        <f>IFERROR(VLOOKUP(G17,Notas!B:K,8,FALSE)/1000,"")</f>
        <v/>
      </c>
      <c r="L17" s="57" t="str">
        <f>IFERROR(IF(VLOOKUP(G17,Notas!B:K,9,FALSE)=".000","",VLOOKUP(G17,Notas!B:K,9,FALSE)/1000),"")</f>
        <v/>
      </c>
      <c r="M17" s="95"/>
    </row>
    <row r="18" spans="2:13" ht="14.25" customHeight="1" x14ac:dyDescent="0.3">
      <c r="B18" s="93"/>
      <c r="C18" s="158"/>
      <c r="D18" s="53" t="s">
        <v>30</v>
      </c>
      <c r="E18" s="115" t="s">
        <v>31</v>
      </c>
      <c r="F18" s="116"/>
      <c r="G18" s="54" t="str">
        <f>IF($L$9="","",IFERROR(VLOOKUP(IFERROR(VLOOKUP(D18,Notas!B:B,1,FALSE),VLOOKUP(D18,Equivalencia!A:F,5,FALSE)),Notas!B:B,1,FALSE),VLOOKUP(D18,Equivalencia!A:H,8,FALSE)))</f>
        <v/>
      </c>
      <c r="H18" s="115" t="str">
        <f>IFERROR(IF($L$9="","",IFERROR(IFERROR(VLOOKUP(G18,Equivalencia!A:B,2,FALSE),VLOOKUP(G18,Equivalencia!E:F,2,FALSE)),VLOOKUP(G18,Equivalencia!H:I,2,FALSE))),"")</f>
        <v/>
      </c>
      <c r="I18" s="116"/>
      <c r="J18" s="55">
        <v>4</v>
      </c>
      <c r="K18" s="56" t="str">
        <f>IFERROR(VLOOKUP(G18,Notas!B:K,8,FALSE)/1000,"")</f>
        <v/>
      </c>
      <c r="L18" s="57" t="str">
        <f>IFERROR(IF(VLOOKUP(G18,Notas!B:K,9,FALSE)=".000","",VLOOKUP(G18,Notas!B:K,9,FALSE)/1000),"")</f>
        <v/>
      </c>
      <c r="M18" s="95"/>
    </row>
    <row r="19" spans="2:13" ht="14.25" customHeight="1" x14ac:dyDescent="0.3">
      <c r="B19" s="93"/>
      <c r="C19" s="159"/>
      <c r="D19" s="58" t="s">
        <v>32</v>
      </c>
      <c r="E19" s="119" t="s">
        <v>33</v>
      </c>
      <c r="F19" s="120"/>
      <c r="G19" s="59" t="str">
        <f>IF($L$9="","",IFERROR(VLOOKUP(IFERROR(VLOOKUP(D19,Notas!B:B,1,FALSE),VLOOKUP(D19,Equivalencia!A:F,5,FALSE)),Notas!B:B,1,FALSE),VLOOKUP(D19,Equivalencia!A:H,8,FALSE)))</f>
        <v/>
      </c>
      <c r="H19" s="119" t="str">
        <f>IFERROR(IF($L$9="","",IFERROR(IFERROR(VLOOKUP(G19,Equivalencia!A:B,2,FALSE),VLOOKUP(G19,Equivalencia!E:F,2,FALSE)),VLOOKUP(G19,Equivalencia!H:I,2,FALSE))),"")</f>
        <v/>
      </c>
      <c r="I19" s="120"/>
      <c r="J19" s="60">
        <v>1</v>
      </c>
      <c r="K19" s="61" t="str">
        <f>IFERROR(VLOOKUP(G19,Notas!B:K,8,FALSE)/1000,"")</f>
        <v/>
      </c>
      <c r="L19" s="62" t="str">
        <f>IFERROR(IF(VLOOKUP(G19,Notas!B:K,9,FALSE)=".000","",VLOOKUP(G19,Notas!B:K,9,FALSE)/1000),"")</f>
        <v/>
      </c>
      <c r="M19" s="95"/>
    </row>
    <row r="20" spans="2:13" ht="14.25" customHeight="1" x14ac:dyDescent="0.3">
      <c r="B20" s="93"/>
      <c r="C20" s="158" t="s">
        <v>34</v>
      </c>
      <c r="D20" s="48" t="s">
        <v>35</v>
      </c>
      <c r="E20" s="121" t="s">
        <v>36</v>
      </c>
      <c r="F20" s="122"/>
      <c r="G20" s="49" t="str">
        <f>IF($L$9="","",IFERROR(VLOOKUP(IFERROR(VLOOKUP(D20,Notas!B:B,1,FALSE),VLOOKUP(D20,Equivalencia!A:F,5,FALSE)),Notas!B:B,1,FALSE),VLOOKUP(D20,Equivalencia!A:H,8,FALSE)))</f>
        <v/>
      </c>
      <c r="H20" s="121" t="str">
        <f>IFERROR(IF($L$9="","",IFERROR(IFERROR(VLOOKUP(G20,Equivalencia!A:B,2,FALSE),VLOOKUP(G20,Equivalencia!E:F,2,FALSE)),VLOOKUP(G20,Equivalencia!H:I,2,FALSE))),"")</f>
        <v/>
      </c>
      <c r="I20" s="122"/>
      <c r="J20" s="50">
        <v>1</v>
      </c>
      <c r="K20" s="51" t="str">
        <f>IFERROR(VLOOKUP(G20,Notas!B:K,8,FALSE)/1000,"")</f>
        <v/>
      </c>
      <c r="L20" s="52" t="str">
        <f>IFERROR(IF(VLOOKUP(G20,Notas!B:K,9,FALSE)=".000","",VLOOKUP(G20,Notas!B:K,9,FALSE)/1000),"")</f>
        <v/>
      </c>
      <c r="M20" s="95"/>
    </row>
    <row r="21" spans="2:13" ht="14.25" customHeight="1" x14ac:dyDescent="0.3">
      <c r="B21" s="93"/>
      <c r="C21" s="158"/>
      <c r="D21" s="53" t="s">
        <v>37</v>
      </c>
      <c r="E21" s="115" t="s">
        <v>38</v>
      </c>
      <c r="F21" s="116"/>
      <c r="G21" s="54" t="str">
        <f>IF($L$9="","",IFERROR(VLOOKUP(IFERROR(VLOOKUP(D21,Notas!B:B,1,FALSE),VLOOKUP(D21,Equivalencia!A:F,5,FALSE)),Notas!B:B,1,FALSE),VLOOKUP(D21,Equivalencia!A:H,8,FALSE)))</f>
        <v/>
      </c>
      <c r="H21" s="115" t="str">
        <f>IFERROR(IF($L$9="","",IFERROR(IFERROR(VLOOKUP(G21,Equivalencia!A:B,2,FALSE),VLOOKUP(G21,Equivalencia!E:F,2,FALSE)),VLOOKUP(G21,Equivalencia!H:I,2,FALSE))),"")</f>
        <v/>
      </c>
      <c r="I21" s="116"/>
      <c r="J21" s="55">
        <v>2</v>
      </c>
      <c r="K21" s="56" t="str">
        <f>IFERROR(VLOOKUP(G21,Notas!B:K,8,FALSE)/1000,"")</f>
        <v/>
      </c>
      <c r="L21" s="57" t="str">
        <f>IFERROR(IF(VLOOKUP(G21,Notas!B:K,9,FALSE)=".000","",VLOOKUP(G21,Notas!B:K,9,FALSE)/1000),"")</f>
        <v/>
      </c>
      <c r="M21" s="95"/>
    </row>
    <row r="22" spans="2:13" ht="14.25" customHeight="1" x14ac:dyDescent="0.3">
      <c r="B22" s="93"/>
      <c r="C22" s="158"/>
      <c r="D22" s="53" t="s">
        <v>39</v>
      </c>
      <c r="E22" s="115" t="s">
        <v>40</v>
      </c>
      <c r="F22" s="116"/>
      <c r="G22" s="54" t="str">
        <f>IF($L$9="","",IFERROR(VLOOKUP(IFERROR(VLOOKUP(D22,Notas!B:B,1,FALSE),VLOOKUP(D22,Equivalencia!A:F,5,FALSE)),Notas!B:B,1,FALSE),VLOOKUP(D22,Equivalencia!A:H,8,FALSE)))</f>
        <v/>
      </c>
      <c r="H22" s="115" t="str">
        <f>IFERROR(IF($L$9="","",IFERROR(IFERROR(VLOOKUP(G22,Equivalencia!A:B,2,FALSE),VLOOKUP(G22,Equivalencia!E:F,2,FALSE)),VLOOKUP(G22,Equivalencia!H:I,2,FALSE))),"")</f>
        <v/>
      </c>
      <c r="I22" s="116"/>
      <c r="J22" s="55">
        <v>2</v>
      </c>
      <c r="K22" s="56" t="str">
        <f>IFERROR(VLOOKUP(G22,Notas!B:K,8,FALSE)/1000,"")</f>
        <v/>
      </c>
      <c r="L22" s="57" t="str">
        <f>IFERROR(IF(VLOOKUP(G22,Notas!B:K,9,FALSE)=".000","",VLOOKUP(G22,Notas!B:K,9,FALSE)/1000),"")</f>
        <v/>
      </c>
      <c r="M22" s="95"/>
    </row>
    <row r="23" spans="2:13" ht="14.25" customHeight="1" x14ac:dyDescent="0.3">
      <c r="B23" s="93"/>
      <c r="C23" s="158"/>
      <c r="D23" s="53" t="s">
        <v>41</v>
      </c>
      <c r="E23" s="115" t="s">
        <v>42</v>
      </c>
      <c r="F23" s="116"/>
      <c r="G23" s="54" t="str">
        <f>IF($L$9="","",IFERROR(VLOOKUP(IFERROR(VLOOKUP(D23,Notas!B:B,1,FALSE),VLOOKUP(D23,Equivalencia!A:F,5,FALSE)),Notas!B:B,1,FALSE),VLOOKUP(D23,Equivalencia!A:H,8,FALSE)))</f>
        <v/>
      </c>
      <c r="H23" s="115" t="str">
        <f>IFERROR(IF($L$9="","",IFERROR(IFERROR(VLOOKUP(G23,Equivalencia!A:B,2,FALSE),VLOOKUP(G23,Equivalencia!E:F,2,FALSE)),VLOOKUP(G23,Equivalencia!H:I,2,FALSE))),"")</f>
        <v/>
      </c>
      <c r="I23" s="116"/>
      <c r="J23" s="55">
        <v>2</v>
      </c>
      <c r="K23" s="56" t="str">
        <f>IFERROR(VLOOKUP(G23,Notas!B:K,8,FALSE)/1000,"")</f>
        <v/>
      </c>
      <c r="L23" s="57" t="str">
        <f>IFERROR(IF(VLOOKUP(G23,Notas!B:K,9,FALSE)=".000","",VLOOKUP(G23,Notas!B:K,9,FALSE)/1000),"")</f>
        <v/>
      </c>
      <c r="M23" s="95"/>
    </row>
    <row r="24" spans="2:13" ht="14.25" customHeight="1" x14ac:dyDescent="0.3">
      <c r="B24" s="93"/>
      <c r="C24" s="158"/>
      <c r="D24" s="53" t="s">
        <v>43</v>
      </c>
      <c r="E24" s="115" t="s">
        <v>44</v>
      </c>
      <c r="F24" s="116"/>
      <c r="G24" s="54" t="str">
        <f>IF($L$9="","",IFERROR(VLOOKUP(IFERROR(VLOOKUP(D24,Notas!B:B,1,FALSE),VLOOKUP(D24,Equivalencia!A:F,5,FALSE)),Notas!B:B,1,FALSE),VLOOKUP(D24,Equivalencia!A:H,8,FALSE)))</f>
        <v/>
      </c>
      <c r="H24" s="115" t="str">
        <f>IFERROR(IF($L$9="","",IFERROR(IFERROR(VLOOKUP(G24,Equivalencia!A:B,2,FALSE),VLOOKUP(G24,Equivalencia!E:F,2,FALSE)),VLOOKUP(G24,Equivalencia!H:I,2,FALSE))),"")</f>
        <v/>
      </c>
      <c r="I24" s="116"/>
      <c r="J24" s="55">
        <v>2</v>
      </c>
      <c r="K24" s="56" t="str">
        <f>IFERROR(VLOOKUP(G24,Notas!B:K,8,FALSE)/1000,"")</f>
        <v/>
      </c>
      <c r="L24" s="57" t="str">
        <f>IFERROR(IF(VLOOKUP(G24,Notas!B:K,9,FALSE)=".000","",VLOOKUP(G24,Notas!B:K,9,FALSE)/1000),"")</f>
        <v/>
      </c>
      <c r="M24" s="95"/>
    </row>
    <row r="25" spans="2:13" ht="14.25" customHeight="1" x14ac:dyDescent="0.3">
      <c r="B25" s="93"/>
      <c r="C25" s="158"/>
      <c r="D25" s="53" t="s">
        <v>45</v>
      </c>
      <c r="E25" s="115" t="s">
        <v>46</v>
      </c>
      <c r="F25" s="116"/>
      <c r="G25" s="54" t="str">
        <f>IF($L$9="","",IFERROR(VLOOKUP(IFERROR(VLOOKUP(D25,Notas!B:B,1,FALSE),VLOOKUP(D25,Equivalencia!A:F,5,FALSE)),Notas!B:B,1,FALSE),VLOOKUP(D25,Equivalencia!A:H,8,FALSE)))</f>
        <v/>
      </c>
      <c r="H25" s="115" t="str">
        <f>IFERROR(IF($L$9="","",IFERROR(IFERROR(VLOOKUP(G25,Equivalencia!A:B,2,FALSE),VLOOKUP(G25,Equivalencia!E:F,2,FALSE)),VLOOKUP(G25,Equivalencia!H:I,2,FALSE))),"")</f>
        <v/>
      </c>
      <c r="I25" s="116"/>
      <c r="J25" s="55">
        <v>3</v>
      </c>
      <c r="K25" s="56" t="str">
        <f>IFERROR(VLOOKUP(G25,Notas!B:K,8,FALSE)/1000,"")</f>
        <v/>
      </c>
      <c r="L25" s="57" t="str">
        <f>IFERROR(IF(VLOOKUP(G25,Notas!B:K,9,FALSE)=".000","",VLOOKUP(G25,Notas!B:K,9,FALSE)/1000),"")</f>
        <v/>
      </c>
      <c r="M25" s="95"/>
    </row>
    <row r="26" spans="2:13" ht="14.25" customHeight="1" x14ac:dyDescent="0.3">
      <c r="B26" s="93"/>
      <c r="C26" s="158"/>
      <c r="D26" s="53" t="s">
        <v>47</v>
      </c>
      <c r="E26" s="115" t="s">
        <v>48</v>
      </c>
      <c r="F26" s="116"/>
      <c r="G26" s="54" t="str">
        <f>IF($L$9="","",IFERROR(VLOOKUP(IFERROR(VLOOKUP(D26,Notas!B:B,1,FALSE),VLOOKUP(D26,Equivalencia!A:F,5,FALSE)),Notas!B:B,1,FALSE),VLOOKUP(D26,Equivalencia!A:H,8,FALSE)))</f>
        <v/>
      </c>
      <c r="H26" s="115" t="str">
        <f>IFERROR(IF($L$9="","",IFERROR(IFERROR(VLOOKUP(G26,Equivalencia!A:B,2,FALSE),VLOOKUP(G26,Equivalencia!E:F,2,FALSE)),VLOOKUP(G26,Equivalencia!H:I,2,FALSE))),"")</f>
        <v/>
      </c>
      <c r="I26" s="116"/>
      <c r="J26" s="55">
        <v>2</v>
      </c>
      <c r="K26" s="56" t="str">
        <f>IFERROR(VLOOKUP(G26,Notas!B:K,8,FALSE)/1000,"")</f>
        <v/>
      </c>
      <c r="L26" s="57" t="str">
        <f>IFERROR(IF(VLOOKUP(G26,Notas!B:K,9,FALSE)=".000","",VLOOKUP(G26,Notas!B:K,9,FALSE)/1000),"")</f>
        <v/>
      </c>
      <c r="M26" s="95"/>
    </row>
    <row r="27" spans="2:13" ht="14.25" customHeight="1" x14ac:dyDescent="0.3">
      <c r="B27" s="93"/>
      <c r="C27" s="158"/>
      <c r="D27" s="53" t="s">
        <v>49</v>
      </c>
      <c r="E27" s="115" t="s">
        <v>50</v>
      </c>
      <c r="F27" s="116"/>
      <c r="G27" s="54" t="str">
        <f>IF($L$9="","",IFERROR(VLOOKUP(IFERROR(VLOOKUP(D27,Notas!B:B,1,FALSE),VLOOKUP(D27,Equivalencia!A:F,5,FALSE)),Notas!B:B,1,FALSE),VLOOKUP(D27,Equivalencia!A:H,8,FALSE)))</f>
        <v/>
      </c>
      <c r="H27" s="115" t="str">
        <f>IFERROR(IF($L$9="","",IFERROR(IFERROR(VLOOKUP(G27,Equivalencia!A:B,2,FALSE),VLOOKUP(G27,Equivalencia!E:F,2,FALSE)),VLOOKUP(G27,Equivalencia!H:I,2,FALSE))),"")</f>
        <v/>
      </c>
      <c r="I27" s="116"/>
      <c r="J27" s="55">
        <v>3</v>
      </c>
      <c r="K27" s="56" t="str">
        <f>IFERROR(VLOOKUP(G27,Notas!B:K,8,FALSE)/1000,"")</f>
        <v/>
      </c>
      <c r="L27" s="57" t="str">
        <f>IFERROR(IF(VLOOKUP(G27,Notas!B:K,9,FALSE)=".000","",VLOOKUP(G27,Notas!B:K,9,FALSE)/1000),"")</f>
        <v/>
      </c>
      <c r="M27" s="95"/>
    </row>
    <row r="28" spans="2:13" ht="14.25" customHeight="1" x14ac:dyDescent="0.3">
      <c r="B28" s="93"/>
      <c r="C28" s="158"/>
      <c r="D28" s="53" t="s">
        <v>51</v>
      </c>
      <c r="E28" s="115" t="s">
        <v>52</v>
      </c>
      <c r="F28" s="116"/>
      <c r="G28" s="54" t="str">
        <f>IF($L$9="","",IFERROR(VLOOKUP(IFERROR(VLOOKUP(D28,Notas!B:B,1,FALSE),VLOOKUP(D28,Equivalencia!A:F,5,FALSE)),Notas!B:B,1,FALSE),VLOOKUP(D28,Equivalencia!A:H,8,FALSE)))</f>
        <v/>
      </c>
      <c r="H28" s="115" t="str">
        <f>IFERROR(IF($L$9="","",IFERROR(IFERROR(VLOOKUP(G28,Equivalencia!A:B,2,FALSE),VLOOKUP(G28,Equivalencia!E:F,2,FALSE)),VLOOKUP(G28,Equivalencia!H:I,2,FALSE))),"")</f>
        <v/>
      </c>
      <c r="I28" s="116"/>
      <c r="J28" s="55">
        <v>2</v>
      </c>
      <c r="K28" s="56" t="str">
        <f>IFERROR(VLOOKUP(G28,Notas!B:K,8,FALSE)/1000,"")</f>
        <v/>
      </c>
      <c r="L28" s="57" t="str">
        <f>IFERROR(IF(VLOOKUP(G28,Notas!B:K,9,FALSE)=".000","",VLOOKUP(G28,Notas!B:K,9,FALSE)/1000),"")</f>
        <v/>
      </c>
      <c r="M28" s="95"/>
    </row>
    <row r="29" spans="2:13" ht="14.25" customHeight="1" x14ac:dyDescent="0.3">
      <c r="B29" s="93"/>
      <c r="C29" s="158"/>
      <c r="D29" s="53" t="s">
        <v>53</v>
      </c>
      <c r="E29" s="115" t="s">
        <v>54</v>
      </c>
      <c r="F29" s="116"/>
      <c r="G29" s="54" t="str">
        <f>IF($L$9="","",IFERROR(VLOOKUP(IFERROR(VLOOKUP(D29,Notas!B:B,1,FALSE),VLOOKUP(D29,Equivalencia!A:F,5,FALSE)),Notas!B:B,1,FALSE),VLOOKUP(D29,Equivalencia!A:H,8,FALSE)))</f>
        <v/>
      </c>
      <c r="H29" s="115" t="str">
        <f>IFERROR(IF($L$9="","",IFERROR(IFERROR(VLOOKUP(G29,Equivalencia!A:B,2,FALSE),VLOOKUP(G29,Equivalencia!E:F,2,FALSE)),VLOOKUP(G29,Equivalencia!H:I,2,FALSE))),"")</f>
        <v/>
      </c>
      <c r="I29" s="116"/>
      <c r="J29" s="55">
        <v>1</v>
      </c>
      <c r="K29" s="56" t="str">
        <f>IFERROR(VLOOKUP(G29,Notas!B:K,8,FALSE)/1000,"")</f>
        <v/>
      </c>
      <c r="L29" s="57" t="str">
        <f>IFERROR(IF(VLOOKUP(G29,Notas!B:K,9,FALSE)=".000","",VLOOKUP(G29,Notas!B:K,9,FALSE)/1000),"")</f>
        <v/>
      </c>
      <c r="M29" s="95"/>
    </row>
    <row r="30" spans="2:13" ht="14.25" customHeight="1" x14ac:dyDescent="0.3">
      <c r="B30" s="93"/>
      <c r="C30" s="158"/>
      <c r="D30" s="53" t="s">
        <v>55</v>
      </c>
      <c r="E30" s="115" t="s">
        <v>56</v>
      </c>
      <c r="F30" s="116"/>
      <c r="G30" s="54" t="str">
        <f>IF($L$9="","",IFERROR(VLOOKUP(IFERROR(VLOOKUP(D30,Notas!B:B,1,FALSE),VLOOKUP(D30,Equivalencia!A:F,5,FALSE)),Notas!B:B,1,FALSE),VLOOKUP(D30,Equivalencia!A:H,8,FALSE)))</f>
        <v/>
      </c>
      <c r="H30" s="115" t="str">
        <f>IFERROR(IF($L$9="","",IFERROR(IFERROR(VLOOKUP(G30,Equivalencia!A:B,2,FALSE),VLOOKUP(G30,Equivalencia!E:F,2,FALSE)),VLOOKUP(G30,Equivalencia!H:I,2,FALSE))),"")</f>
        <v/>
      </c>
      <c r="I30" s="116"/>
      <c r="J30" s="55">
        <v>1</v>
      </c>
      <c r="K30" s="56" t="str">
        <f>IFERROR(VLOOKUP(G30,Notas!B:K,8,FALSE)/1000,"")</f>
        <v/>
      </c>
      <c r="L30" s="57" t="str">
        <f>IFERROR(IF(VLOOKUP(G30,Notas!B:K,9,FALSE)=".000","",VLOOKUP(G30,Notas!B:K,9,FALSE)/1000),"")</f>
        <v/>
      </c>
      <c r="M30" s="95"/>
    </row>
    <row r="31" spans="2:13" ht="14.25" customHeight="1" x14ac:dyDescent="0.3">
      <c r="B31" s="93"/>
      <c r="C31" s="158"/>
      <c r="D31" s="53" t="s">
        <v>57</v>
      </c>
      <c r="E31" s="115" t="s">
        <v>58</v>
      </c>
      <c r="F31" s="116"/>
      <c r="G31" s="54" t="str">
        <f>IF($L$9="","",IFERROR(VLOOKUP(IFERROR(VLOOKUP(D31,Notas!B:B,1,FALSE),VLOOKUP(D31,Equivalencia!A:F,5,FALSE)),Notas!B:B,1,FALSE),VLOOKUP(D31,Equivalencia!A:H,8,FALSE)))</f>
        <v/>
      </c>
      <c r="H31" s="115" t="str">
        <f>IFERROR(IF($L$9="","",IFERROR(IFERROR(VLOOKUP(G31,Equivalencia!A:B,2,FALSE),VLOOKUP(G31,Equivalencia!E:F,2,FALSE)),VLOOKUP(G31,Equivalencia!H:I,2,FALSE))),"")</f>
        <v/>
      </c>
      <c r="I31" s="116"/>
      <c r="J31" s="55">
        <v>2</v>
      </c>
      <c r="K31" s="56" t="str">
        <f>IFERROR(VLOOKUP(G31,Notas!B:K,8,FALSE)/1000,"")</f>
        <v/>
      </c>
      <c r="L31" s="57" t="str">
        <f>IFERROR(IF(VLOOKUP(G31,Notas!B:K,9,FALSE)=".000","",VLOOKUP(G31,Notas!B:K,9,FALSE)/1000),"")</f>
        <v/>
      </c>
      <c r="M31" s="95"/>
    </row>
    <row r="32" spans="2:13" ht="14.25" customHeight="1" x14ac:dyDescent="0.3">
      <c r="B32" s="93"/>
      <c r="C32" s="158"/>
      <c r="D32" s="53" t="s">
        <v>59</v>
      </c>
      <c r="E32" s="115" t="s">
        <v>60</v>
      </c>
      <c r="F32" s="116"/>
      <c r="G32" s="54" t="str">
        <f>IF($L$9="","",IFERROR(VLOOKUP(IFERROR(VLOOKUP(D32,Notas!B:B,1,FALSE),VLOOKUP(D32,Equivalencia!A:F,5,FALSE)),Notas!B:B,1,FALSE),VLOOKUP(D32,Equivalencia!A:H,8,FALSE)))</f>
        <v/>
      </c>
      <c r="H32" s="115" t="str">
        <f>IFERROR(IF($L$9="","",IFERROR(IFERROR(VLOOKUP(G32,Equivalencia!A:B,2,FALSE),VLOOKUP(G32,Equivalencia!E:F,2,FALSE)),VLOOKUP(G32,Equivalencia!H:I,2,FALSE))),"")</f>
        <v/>
      </c>
      <c r="I32" s="116"/>
      <c r="J32" s="55">
        <v>2</v>
      </c>
      <c r="K32" s="56" t="str">
        <f>IFERROR(VLOOKUP(G32,Notas!B:K,8,FALSE)/1000,"")</f>
        <v/>
      </c>
      <c r="L32" s="57" t="str">
        <f>IFERROR(IF(VLOOKUP(G32,Notas!B:K,9,FALSE)=".000","",VLOOKUP(G32,Notas!B:K,9,FALSE)/1000),"")</f>
        <v/>
      </c>
      <c r="M32" s="95"/>
    </row>
    <row r="33" spans="2:13" ht="14.25" customHeight="1" x14ac:dyDescent="0.3">
      <c r="B33" s="93"/>
      <c r="C33" s="158"/>
      <c r="D33" s="53" t="s">
        <v>61</v>
      </c>
      <c r="E33" s="115" t="s">
        <v>62</v>
      </c>
      <c r="F33" s="116"/>
      <c r="G33" s="54" t="str">
        <f>IF($L$9="","",IFERROR(VLOOKUP(IFERROR(VLOOKUP(D33,Notas!B:B,1,FALSE),VLOOKUP(D33,Equivalencia!A:F,5,FALSE)),Notas!B:B,1,FALSE),VLOOKUP(D33,Equivalencia!A:H,8,FALSE)))</f>
        <v/>
      </c>
      <c r="H33" s="115" t="str">
        <f>IFERROR(IF($L$9="","",IFERROR(IFERROR(VLOOKUP(G33,Equivalencia!A:B,2,FALSE),VLOOKUP(G33,Equivalencia!E:F,2,FALSE)),VLOOKUP(G33,Equivalencia!H:I,2,FALSE))),"")</f>
        <v/>
      </c>
      <c r="I33" s="116"/>
      <c r="J33" s="55">
        <v>2</v>
      </c>
      <c r="K33" s="56" t="str">
        <f>IFERROR(VLOOKUP(G33,Notas!B:K,8,FALSE)/1000,"")</f>
        <v/>
      </c>
      <c r="L33" s="57" t="str">
        <f>IFERROR(IF(VLOOKUP(G33,Notas!B:K,9,FALSE)=".000","",VLOOKUP(G33,Notas!B:K,9,FALSE)/1000),"")</f>
        <v/>
      </c>
      <c r="M33" s="95"/>
    </row>
    <row r="34" spans="2:13" ht="14.25" customHeight="1" x14ac:dyDescent="0.3">
      <c r="B34" s="93"/>
      <c r="C34" s="158"/>
      <c r="D34" s="53" t="s">
        <v>63</v>
      </c>
      <c r="E34" s="115" t="s">
        <v>64</v>
      </c>
      <c r="F34" s="116"/>
      <c r="G34" s="54" t="str">
        <f>IF($L$9="","",IFERROR(VLOOKUP(IFERROR(VLOOKUP(D34,Notas!B:B,1,FALSE),VLOOKUP(D34,Equivalencia!A:F,5,FALSE)),Notas!B:B,1,FALSE),VLOOKUP(D34,Equivalencia!A:H,8,FALSE)))</f>
        <v/>
      </c>
      <c r="H34" s="115" t="str">
        <f>IFERROR(IF($L$9="","",IFERROR(IFERROR(VLOOKUP(G34,Equivalencia!A:B,2,FALSE),VLOOKUP(G34,Equivalencia!E:F,2,FALSE)),VLOOKUP(G34,Equivalencia!H:I,2,FALSE))),"")</f>
        <v/>
      </c>
      <c r="I34" s="116"/>
      <c r="J34" s="55">
        <v>2</v>
      </c>
      <c r="K34" s="56" t="str">
        <f>IFERROR(VLOOKUP(G34,Notas!B:K,8,FALSE)/1000,"")</f>
        <v/>
      </c>
      <c r="L34" s="57" t="str">
        <f>IFERROR(IF(VLOOKUP(G34,Notas!B:K,9,FALSE)=".000","",VLOOKUP(G34,Notas!B:K,9,FALSE)/1000),"")</f>
        <v/>
      </c>
      <c r="M34" s="95"/>
    </row>
    <row r="35" spans="2:13" ht="14.25" customHeight="1" x14ac:dyDescent="0.3">
      <c r="B35" s="93"/>
      <c r="C35" s="158"/>
      <c r="D35" s="53" t="s">
        <v>65</v>
      </c>
      <c r="E35" s="115" t="s">
        <v>66</v>
      </c>
      <c r="F35" s="116"/>
      <c r="G35" s="54" t="str">
        <f>IF($L$9="","",IFERROR(VLOOKUP(IFERROR(VLOOKUP(D35,Notas!B:B,1,FALSE),VLOOKUP(D35,Equivalencia!A:F,5,FALSE)),Notas!B:B,1,FALSE),VLOOKUP(D35,Equivalencia!A:H,8,FALSE)))</f>
        <v/>
      </c>
      <c r="H35" s="115" t="str">
        <f>IFERROR(IF($L$9="","",IFERROR(IFERROR(VLOOKUP(G35,Equivalencia!A:B,2,FALSE),VLOOKUP(G35,Equivalencia!E:F,2,FALSE)),VLOOKUP(G35,Equivalencia!H:I,2,FALSE))),"")</f>
        <v/>
      </c>
      <c r="I35" s="116"/>
      <c r="J35" s="55">
        <v>2</v>
      </c>
      <c r="K35" s="56" t="str">
        <f>IFERROR(VLOOKUP(G35,Notas!B:K,8,FALSE)/1000,"")</f>
        <v/>
      </c>
      <c r="L35" s="57" t="str">
        <f>IFERROR(IF(VLOOKUP(G35,Notas!B:K,9,FALSE)=".000","",VLOOKUP(G35,Notas!B:K,9,FALSE)/1000),"")</f>
        <v/>
      </c>
      <c r="M35" s="95"/>
    </row>
    <row r="36" spans="2:13" ht="14.25" customHeight="1" x14ac:dyDescent="0.3">
      <c r="B36" s="93"/>
      <c r="C36" s="158"/>
      <c r="D36" s="53" t="s">
        <v>67</v>
      </c>
      <c r="E36" s="115" t="s">
        <v>68</v>
      </c>
      <c r="F36" s="116"/>
      <c r="G36" s="54" t="str">
        <f>IF($L$9="","",IFERROR(VLOOKUP(IFERROR(VLOOKUP(D36,Notas!B:B,1,FALSE),VLOOKUP(D36,Equivalencia!A:F,5,FALSE)),Notas!B:B,1,FALSE),VLOOKUP(D36,Equivalencia!A:H,8,FALSE)))</f>
        <v/>
      </c>
      <c r="H36" s="115" t="str">
        <f>IFERROR(IF($L$9="","",IFERROR(IFERROR(VLOOKUP(G36,Equivalencia!A:B,2,FALSE),VLOOKUP(G36,Equivalencia!E:F,2,FALSE)),VLOOKUP(G36,Equivalencia!H:I,2,FALSE))),"")</f>
        <v/>
      </c>
      <c r="I36" s="116"/>
      <c r="J36" s="55">
        <v>2</v>
      </c>
      <c r="K36" s="56" t="str">
        <f>IFERROR(VLOOKUP(G36,Notas!B:K,8,FALSE)/1000,"")</f>
        <v/>
      </c>
      <c r="L36" s="57" t="str">
        <f>IFERROR(IF(VLOOKUP(G36,Notas!B:K,9,FALSE)=".000","",VLOOKUP(G36,Notas!B:K,9,FALSE)/1000),"")</f>
        <v/>
      </c>
      <c r="M36" s="95"/>
    </row>
    <row r="37" spans="2:13" ht="14.25" customHeight="1" x14ac:dyDescent="0.3">
      <c r="B37" s="93"/>
      <c r="C37" s="158"/>
      <c r="D37" s="53" t="s">
        <v>69</v>
      </c>
      <c r="E37" s="115" t="s">
        <v>70</v>
      </c>
      <c r="F37" s="116"/>
      <c r="G37" s="54" t="str">
        <f>IF($L$9="","",IFERROR(VLOOKUP(IFERROR(VLOOKUP(D37,Notas!B:B,1,FALSE),VLOOKUP(D37,Equivalencia!A:F,5,FALSE)),Notas!B:B,1,FALSE),VLOOKUP(D37,Equivalencia!A:H,8,FALSE)))</f>
        <v/>
      </c>
      <c r="H37" s="115" t="str">
        <f>IFERROR(IF($L$9="","",IFERROR(IFERROR(VLOOKUP(G37,Equivalencia!A:B,2,FALSE),VLOOKUP(G37,Equivalencia!E:F,2,FALSE)),VLOOKUP(G37,Equivalencia!H:I,2,FALSE))),"")</f>
        <v/>
      </c>
      <c r="I37" s="116"/>
      <c r="J37" s="55">
        <v>2</v>
      </c>
      <c r="K37" s="56" t="str">
        <f>IFERROR(VLOOKUP(G37,Notas!B:K,8,FALSE)/1000,"")</f>
        <v/>
      </c>
      <c r="L37" s="57" t="str">
        <f>IFERROR(IF(VLOOKUP(G37,Notas!B:K,9,FALSE)=".000","",VLOOKUP(G37,Notas!B:K,9,FALSE)/1000),"")</f>
        <v/>
      </c>
      <c r="M37" s="95"/>
    </row>
    <row r="38" spans="2:13" ht="14.25" customHeight="1" x14ac:dyDescent="0.3">
      <c r="B38" s="93"/>
      <c r="C38" s="158"/>
      <c r="D38" s="53" t="s">
        <v>71</v>
      </c>
      <c r="E38" s="115" t="s">
        <v>72</v>
      </c>
      <c r="F38" s="116"/>
      <c r="G38" s="54" t="str">
        <f>IF($L$9="","",IFERROR(VLOOKUP(IFERROR(VLOOKUP(D38,Notas!B:B,1,FALSE),VLOOKUP(D38,Equivalencia!A:F,5,FALSE)),Notas!B:B,1,FALSE),VLOOKUP(D38,Equivalencia!A:H,8,FALSE)))</f>
        <v/>
      </c>
      <c r="H38" s="115" t="str">
        <f>IFERROR(IF($L$9="","",IFERROR(IFERROR(VLOOKUP(G38,Equivalencia!A:B,2,FALSE),VLOOKUP(G38,Equivalencia!E:F,2,FALSE)),VLOOKUP(G38,Equivalencia!H:I,2,FALSE))),"")</f>
        <v/>
      </c>
      <c r="I38" s="116"/>
      <c r="J38" s="55">
        <v>2</v>
      </c>
      <c r="K38" s="56" t="str">
        <f>IFERROR(VLOOKUP(G38,Notas!B:K,8,FALSE)/1000,"")</f>
        <v/>
      </c>
      <c r="L38" s="57" t="str">
        <f>IFERROR(IF(VLOOKUP(G38,Notas!B:K,9,FALSE)=".000","",VLOOKUP(G38,Notas!B:K,9,FALSE)/1000),"")</f>
        <v/>
      </c>
      <c r="M38" s="95"/>
    </row>
    <row r="39" spans="2:13" ht="14.25" customHeight="1" x14ac:dyDescent="0.3">
      <c r="B39" s="93"/>
      <c r="C39" s="158"/>
      <c r="D39" s="53" t="s">
        <v>73</v>
      </c>
      <c r="E39" s="115" t="s">
        <v>74</v>
      </c>
      <c r="F39" s="116"/>
      <c r="G39" s="54" t="str">
        <f>IF($L$9="","",IFERROR(VLOOKUP(IFERROR(VLOOKUP(D39,Notas!B:B,1,FALSE),VLOOKUP(D39,Equivalencia!A:F,5,FALSE)),Notas!B:B,1,FALSE),VLOOKUP(D39,Equivalencia!A:H,8,FALSE)))</f>
        <v/>
      </c>
      <c r="H39" s="115" t="str">
        <f>IFERROR(IF($L$9="","",IFERROR(IFERROR(VLOOKUP(G39,Equivalencia!A:B,2,FALSE),VLOOKUP(G39,Equivalencia!E:F,2,FALSE)),VLOOKUP(G39,Equivalencia!H:I,2,FALSE))),"")</f>
        <v/>
      </c>
      <c r="I39" s="116"/>
      <c r="J39" s="55">
        <v>1</v>
      </c>
      <c r="K39" s="56" t="str">
        <f>IFERROR(VLOOKUP(G39,Notas!B:K,8,FALSE)/1000,"")</f>
        <v/>
      </c>
      <c r="L39" s="57" t="str">
        <f>IFERROR(IF(VLOOKUP(G39,Notas!B:K,9,FALSE)=".000","",VLOOKUP(G39,Notas!B:K,9,FALSE)/1000),"")</f>
        <v/>
      </c>
      <c r="M39" s="95"/>
    </row>
    <row r="40" spans="2:13" ht="14.25" customHeight="1" x14ac:dyDescent="0.3">
      <c r="B40" s="93"/>
      <c r="C40" s="158"/>
      <c r="D40" s="53" t="s">
        <v>75</v>
      </c>
      <c r="E40" s="115" t="s">
        <v>76</v>
      </c>
      <c r="F40" s="116"/>
      <c r="G40" s="54" t="str">
        <f>IF($L$9="","",IFERROR(VLOOKUP(IFERROR(VLOOKUP(D40,Notas!B:B,1,FALSE),VLOOKUP(D40,Equivalencia!A:F,5,FALSE)),Notas!B:B,1,FALSE),VLOOKUP(D40,Equivalencia!A:H,8,FALSE)))</f>
        <v/>
      </c>
      <c r="H40" s="115" t="str">
        <f>IFERROR(IF($L$9="","",IFERROR(IFERROR(VLOOKUP(G40,Equivalencia!A:B,2,FALSE),VLOOKUP(G40,Equivalencia!E:F,2,FALSE)),VLOOKUP(G40,Equivalencia!H:I,2,FALSE))),"")</f>
        <v/>
      </c>
      <c r="I40" s="116"/>
      <c r="J40" s="55">
        <v>2</v>
      </c>
      <c r="K40" s="56" t="str">
        <f>IFERROR(VLOOKUP(G40,Notas!B:K,8,FALSE)/1000,"")</f>
        <v/>
      </c>
      <c r="L40" s="57" t="str">
        <f>IFERROR(IF(VLOOKUP(G40,Notas!B:K,9,FALSE)=".000","",VLOOKUP(G40,Notas!B:K,9,FALSE)/1000),"")</f>
        <v/>
      </c>
      <c r="M40" s="95"/>
    </row>
    <row r="41" spans="2:13" ht="14.25" customHeight="1" x14ac:dyDescent="0.3">
      <c r="B41" s="93"/>
      <c r="C41" s="158"/>
      <c r="D41" s="53" t="s">
        <v>77</v>
      </c>
      <c r="E41" s="115" t="s">
        <v>78</v>
      </c>
      <c r="F41" s="116"/>
      <c r="G41" s="54" t="str">
        <f>IF($L$9="","",IFERROR(VLOOKUP(IFERROR(VLOOKUP(D41,Notas!B:B,1,FALSE),VLOOKUP(D41,Equivalencia!A:F,5,FALSE)),Notas!B:B,1,FALSE),VLOOKUP(D41,Equivalencia!A:H,8,FALSE)))</f>
        <v/>
      </c>
      <c r="H41" s="115" t="str">
        <f>IFERROR(IF($L$9="","",IFERROR(IFERROR(VLOOKUP(G41,Equivalencia!A:B,2,FALSE),VLOOKUP(G41,Equivalencia!E:F,2,FALSE)),VLOOKUP(G41,Equivalencia!H:I,2,FALSE))),"")</f>
        <v/>
      </c>
      <c r="I41" s="116"/>
      <c r="J41" s="55">
        <v>2</v>
      </c>
      <c r="K41" s="56" t="str">
        <f>IFERROR(VLOOKUP(G41,Notas!B:K,8,FALSE)/1000,"")</f>
        <v/>
      </c>
      <c r="L41" s="57" t="str">
        <f>IFERROR(IF(VLOOKUP(G41,Notas!B:K,9,FALSE)=".000","",VLOOKUP(G41,Notas!B:K,9,FALSE)/1000),"")</f>
        <v/>
      </c>
      <c r="M41" s="95"/>
    </row>
    <row r="42" spans="2:13" ht="14.25" customHeight="1" x14ac:dyDescent="0.3">
      <c r="B42" s="93"/>
      <c r="C42" s="159"/>
      <c r="D42" s="58" t="s">
        <v>79</v>
      </c>
      <c r="E42" s="119" t="s">
        <v>80</v>
      </c>
      <c r="F42" s="120"/>
      <c r="G42" s="59" t="str">
        <f>IF($L$9="","",IFERROR(VLOOKUP(IFERROR(VLOOKUP(D42,Notas!B:B,1,FALSE),VLOOKUP(D42,Equivalencia!A:F,5,FALSE)),Notas!B:B,1,FALSE),VLOOKUP(D42,Equivalencia!A:H,8,FALSE)))</f>
        <v/>
      </c>
      <c r="H42" s="119" t="str">
        <f>IFERROR(IF($L$9="","",IFERROR(IFERROR(VLOOKUP(G42,Equivalencia!A:B,2,FALSE),VLOOKUP(G42,Equivalencia!E:F,2,FALSE)),VLOOKUP(G42,Equivalencia!H:I,2,FALSE))),"")</f>
        <v/>
      </c>
      <c r="I42" s="120"/>
      <c r="J42" s="60">
        <v>2</v>
      </c>
      <c r="K42" s="61" t="str">
        <f>IFERROR(VLOOKUP(G42,Notas!B:K,8,FALSE)/1000,"")</f>
        <v/>
      </c>
      <c r="L42" s="62" t="str">
        <f>IFERROR(IF(VLOOKUP(G42,Notas!B:K,9,FALSE)=".000","",VLOOKUP(G42,Notas!B:K,9,FALSE)/1000),"")</f>
        <v/>
      </c>
      <c r="M42" s="95"/>
    </row>
    <row r="43" spans="2:13" ht="14.25" customHeight="1" x14ac:dyDescent="0.3">
      <c r="B43" s="93"/>
      <c r="C43" s="158" t="s">
        <v>81</v>
      </c>
      <c r="D43" s="48" t="s">
        <v>82</v>
      </c>
      <c r="E43" s="121" t="s">
        <v>83</v>
      </c>
      <c r="F43" s="122"/>
      <c r="G43" s="49" t="str">
        <f>IF($L$9="","",IFERROR(VLOOKUP(IFERROR(VLOOKUP(D43,Notas!B:B,1,FALSE),VLOOKUP(D43,Equivalencia!A:F,5,FALSE)),Notas!B:B,1,FALSE),VLOOKUP(D43,Equivalencia!A:H,8,FALSE)))</f>
        <v/>
      </c>
      <c r="H43" s="121" t="str">
        <f>IFERROR(IF($L$9="","",IFERROR(IFERROR(VLOOKUP(G43,Equivalencia!A:B,2,FALSE),VLOOKUP(G43,Equivalencia!E:F,2,FALSE)),VLOOKUP(G43,Equivalencia!H:I,2,FALSE))),"")</f>
        <v/>
      </c>
      <c r="I43" s="122"/>
      <c r="J43" s="50">
        <v>2</v>
      </c>
      <c r="K43" s="51" t="str">
        <f>IFERROR(VLOOKUP(G43,Notas!B:K,8,FALSE)/1000,"")</f>
        <v/>
      </c>
      <c r="L43" s="52" t="str">
        <f>IFERROR(IF(VLOOKUP(G43,Notas!B:K,9,FALSE)=".000","",VLOOKUP(G43,Notas!B:K,9,FALSE)/1000),"")</f>
        <v/>
      </c>
      <c r="M43" s="95"/>
    </row>
    <row r="44" spans="2:13" ht="14.25" customHeight="1" x14ac:dyDescent="0.3">
      <c r="B44" s="93"/>
      <c r="C44" s="158"/>
      <c r="D44" s="53" t="s">
        <v>84</v>
      </c>
      <c r="E44" s="115" t="s">
        <v>85</v>
      </c>
      <c r="F44" s="116"/>
      <c r="G44" s="54" t="str">
        <f>IF($L$9="","",IFERROR(VLOOKUP(IFERROR(VLOOKUP(D44,Notas!B:B,1,FALSE),VLOOKUP(D44,Equivalencia!A:F,5,FALSE)),Notas!B:B,1,FALSE),VLOOKUP(D44,Equivalencia!A:H,8,FALSE)))</f>
        <v/>
      </c>
      <c r="H44" s="115" t="str">
        <f>IFERROR(IF($L$9="","",IFERROR(IFERROR(VLOOKUP(G44,Equivalencia!A:B,2,FALSE),VLOOKUP(G44,Equivalencia!E:F,2,FALSE)),VLOOKUP(G44,Equivalencia!H:I,2,FALSE))),"")</f>
        <v/>
      </c>
      <c r="I44" s="116"/>
      <c r="J44" s="55">
        <v>2</v>
      </c>
      <c r="K44" s="56" t="str">
        <f>IFERROR(VLOOKUP(G44,Notas!B:K,8,FALSE)/1000,"")</f>
        <v/>
      </c>
      <c r="L44" s="57" t="str">
        <f>IFERROR(IF(VLOOKUP(G44,Notas!B:K,9,FALSE)=".000","",VLOOKUP(G44,Notas!B:K,9,FALSE)/1000),"")</f>
        <v/>
      </c>
      <c r="M44" s="95"/>
    </row>
    <row r="45" spans="2:13" ht="14.25" customHeight="1" x14ac:dyDescent="0.3">
      <c r="B45" s="93"/>
      <c r="C45" s="158"/>
      <c r="D45" s="53" t="s">
        <v>86</v>
      </c>
      <c r="E45" s="115" t="s">
        <v>87</v>
      </c>
      <c r="F45" s="116"/>
      <c r="G45" s="54" t="str">
        <f>IF($L$9="","",IFERROR(VLOOKUP(IFERROR(VLOOKUP(D45,Notas!B:B,1,FALSE),VLOOKUP(D45,Equivalencia!A:F,5,FALSE)),Notas!B:B,1,FALSE),VLOOKUP(D45,Equivalencia!A:H,8,FALSE)))</f>
        <v/>
      </c>
      <c r="H45" s="115" t="str">
        <f>IFERROR(IF($L$9="","",IFERROR(IFERROR(VLOOKUP(G45,Equivalencia!A:B,2,FALSE),VLOOKUP(G45,Equivalencia!E:F,2,FALSE)),VLOOKUP(G45,Equivalencia!H:I,2,FALSE))),"")</f>
        <v/>
      </c>
      <c r="I45" s="116"/>
      <c r="J45" s="55">
        <v>2</v>
      </c>
      <c r="K45" s="56" t="str">
        <f>IFERROR(VLOOKUP(G45,Notas!B:K,8,FALSE)/1000,"")</f>
        <v/>
      </c>
      <c r="L45" s="57" t="str">
        <f>IFERROR(IF(VLOOKUP(G45,Notas!B:K,9,FALSE)=".000","",VLOOKUP(G45,Notas!B:K,9,FALSE)/1000),"")</f>
        <v/>
      </c>
      <c r="M45" s="95"/>
    </row>
    <row r="46" spans="2:13" ht="14.25" customHeight="1" x14ac:dyDescent="0.3">
      <c r="B46" s="93"/>
      <c r="C46" s="158"/>
      <c r="D46" s="53" t="s">
        <v>88</v>
      </c>
      <c r="E46" s="115" t="s">
        <v>89</v>
      </c>
      <c r="F46" s="116"/>
      <c r="G46" s="54" t="str">
        <f>IF($L$9="","",IFERROR(VLOOKUP(IFERROR(VLOOKUP(D46,Notas!B:B,1,FALSE),VLOOKUP(D46,Equivalencia!A:F,5,FALSE)),Notas!B:B,1,FALSE),VLOOKUP(D46,Equivalencia!A:H,8,FALSE)))</f>
        <v/>
      </c>
      <c r="H46" s="115" t="str">
        <f>IFERROR(IF($L$9="","",IFERROR(IFERROR(VLOOKUP(G46,Equivalencia!A:B,2,FALSE),VLOOKUP(G46,Equivalencia!E:F,2,FALSE)),VLOOKUP(G46,Equivalencia!H:I,2,FALSE))),"")</f>
        <v/>
      </c>
      <c r="I46" s="116"/>
      <c r="J46" s="55">
        <v>2</v>
      </c>
      <c r="K46" s="56" t="str">
        <f>IFERROR(VLOOKUP(G46,Notas!B:K,8,FALSE)/1000,"")</f>
        <v/>
      </c>
      <c r="L46" s="57" t="str">
        <f>IFERROR(IF(VLOOKUP(G46,Notas!B:K,9,FALSE)=".000","",VLOOKUP(G46,Notas!B:K,9,FALSE)/1000),"")</f>
        <v/>
      </c>
      <c r="M46" s="95"/>
    </row>
    <row r="47" spans="2:13" ht="14.25" customHeight="1" x14ac:dyDescent="0.3">
      <c r="B47" s="93"/>
      <c r="C47" s="158"/>
      <c r="D47" s="53" t="s">
        <v>90</v>
      </c>
      <c r="E47" s="115" t="s">
        <v>91</v>
      </c>
      <c r="F47" s="116"/>
      <c r="G47" s="54" t="str">
        <f>IF($L$9="","",IFERROR(VLOOKUP(IFERROR(VLOOKUP(D47,Notas!B:B,1,FALSE),VLOOKUP(D47,Equivalencia!A:F,5,FALSE)),Notas!B:B,1,FALSE),VLOOKUP(D47,Equivalencia!A:H,8,FALSE)))</f>
        <v/>
      </c>
      <c r="H47" s="115" t="str">
        <f>IFERROR(IF($L$9="","",IFERROR(IFERROR(VLOOKUP(G47,Equivalencia!A:B,2,FALSE),VLOOKUP(G47,Equivalencia!E:F,2,FALSE)),VLOOKUP(G47,Equivalencia!H:I,2,FALSE))),"")</f>
        <v/>
      </c>
      <c r="I47" s="116"/>
      <c r="J47" s="55">
        <v>2</v>
      </c>
      <c r="K47" s="56" t="str">
        <f>IFERROR(VLOOKUP(G47,Notas!B:K,8,FALSE)/1000,"")</f>
        <v/>
      </c>
      <c r="L47" s="57" t="str">
        <f>IFERROR(IF(VLOOKUP(G47,Notas!B:K,9,FALSE)=".000","",VLOOKUP(G47,Notas!B:K,9,FALSE)/1000),"")</f>
        <v/>
      </c>
      <c r="M47" s="95"/>
    </row>
    <row r="48" spans="2:13" ht="14.25" customHeight="1" x14ac:dyDescent="0.3">
      <c r="B48" s="93"/>
      <c r="C48" s="158"/>
      <c r="D48" s="53" t="s">
        <v>92</v>
      </c>
      <c r="E48" s="115" t="s">
        <v>93</v>
      </c>
      <c r="F48" s="116"/>
      <c r="G48" s="54" t="str">
        <f>IF($L$9="","",IFERROR(VLOOKUP(IFERROR(VLOOKUP(D48,Notas!B:B,1,FALSE),VLOOKUP(D48,Equivalencia!A:F,5,FALSE)),Notas!B:B,1,FALSE),VLOOKUP(D48,Equivalencia!A:H,8,FALSE)))</f>
        <v/>
      </c>
      <c r="H48" s="115" t="str">
        <f>IFERROR(IF($L$9="","",IFERROR(IFERROR(VLOOKUP(G48,Equivalencia!A:B,2,FALSE),VLOOKUP(G48,Equivalencia!E:F,2,FALSE)),VLOOKUP(G48,Equivalencia!H:I,2,FALSE))),"")</f>
        <v/>
      </c>
      <c r="I48" s="116"/>
      <c r="J48" s="55">
        <v>2</v>
      </c>
      <c r="K48" s="56" t="str">
        <f>IFERROR(VLOOKUP(G48,Notas!B:K,8,FALSE)/1000,"")</f>
        <v/>
      </c>
      <c r="L48" s="57" t="str">
        <f>IFERROR(IF(VLOOKUP(G48,Notas!B:K,9,FALSE)=".000","",VLOOKUP(G48,Notas!B:K,9,FALSE)/1000),"")</f>
        <v/>
      </c>
      <c r="M48" s="95"/>
    </row>
    <row r="49" spans="2:13" ht="14.25" customHeight="1" x14ac:dyDescent="0.3">
      <c r="B49" s="93"/>
      <c r="C49" s="158"/>
      <c r="D49" s="53" t="s">
        <v>94</v>
      </c>
      <c r="E49" s="115" t="s">
        <v>95</v>
      </c>
      <c r="F49" s="116"/>
      <c r="G49" s="54" t="str">
        <f>IF($L$9="","",IFERROR(VLOOKUP(IFERROR(VLOOKUP(D49,Notas!B:B,1,FALSE),VLOOKUP(D49,Equivalencia!A:F,5,FALSE)),Notas!B:B,1,FALSE),VLOOKUP(D49,Equivalencia!A:H,8,FALSE)))</f>
        <v/>
      </c>
      <c r="H49" s="115" t="str">
        <f>IFERROR(IF($L$9="","",IFERROR(IFERROR(VLOOKUP(G49,Equivalencia!A:B,2,FALSE),VLOOKUP(G49,Equivalencia!E:F,2,FALSE)),VLOOKUP(G49,Equivalencia!H:I,2,FALSE))),"")</f>
        <v/>
      </c>
      <c r="I49" s="116"/>
      <c r="J49" s="55">
        <v>1</v>
      </c>
      <c r="K49" s="56" t="str">
        <f>IFERROR(VLOOKUP(G49,Notas!B:K,8,FALSE)/1000,"")</f>
        <v/>
      </c>
      <c r="L49" s="57" t="str">
        <f>IFERROR(IF(VLOOKUP(G49,Notas!B:K,9,FALSE)=".000","",VLOOKUP(G49,Notas!B:K,9,FALSE)/1000),"")</f>
        <v/>
      </c>
      <c r="M49" s="95"/>
    </row>
    <row r="50" spans="2:13" ht="14.25" customHeight="1" x14ac:dyDescent="0.3">
      <c r="B50" s="93"/>
      <c r="C50" s="158"/>
      <c r="D50" s="53" t="s">
        <v>96</v>
      </c>
      <c r="E50" s="115" t="s">
        <v>97</v>
      </c>
      <c r="F50" s="116"/>
      <c r="G50" s="54" t="str">
        <f>IF($L$9="","",IFERROR(VLOOKUP(IFERROR(VLOOKUP(D50,Notas!B:B,1,FALSE),VLOOKUP(D50,Equivalencia!A:F,5,FALSE)),Notas!B:B,1,FALSE),VLOOKUP(D50,Equivalencia!A:H,8,FALSE)))</f>
        <v/>
      </c>
      <c r="H50" s="115" t="str">
        <f>IFERROR(IF($L$9="","",IFERROR(IFERROR(VLOOKUP(G50,Equivalencia!A:B,2,FALSE),VLOOKUP(G50,Equivalencia!E:F,2,FALSE)),VLOOKUP(G50,Equivalencia!H:I,2,FALSE))),"")</f>
        <v/>
      </c>
      <c r="I50" s="116"/>
      <c r="J50" s="55">
        <v>1</v>
      </c>
      <c r="K50" s="56" t="str">
        <f>IFERROR(VLOOKUP(G50,Notas!B:K,8,FALSE)/1000,"")</f>
        <v/>
      </c>
      <c r="L50" s="57" t="str">
        <f>IFERROR(IF(VLOOKUP(G50,Notas!B:K,9,FALSE)=".000","",VLOOKUP(G50,Notas!B:K,9,FALSE)/1000),"")</f>
        <v/>
      </c>
      <c r="M50" s="95"/>
    </row>
    <row r="51" spans="2:13" ht="14.25" customHeight="1" x14ac:dyDescent="0.3">
      <c r="B51" s="93"/>
      <c r="C51" s="158"/>
      <c r="D51" s="53" t="s">
        <v>98</v>
      </c>
      <c r="E51" s="115" t="s">
        <v>99</v>
      </c>
      <c r="F51" s="116"/>
      <c r="G51" s="54" t="str">
        <f>IF($L$9="","",IFERROR(VLOOKUP(IFERROR(VLOOKUP(D51,Notas!B:B,1,FALSE),VLOOKUP(D51,Equivalencia!A:F,5,FALSE)),Notas!B:B,1,FALSE),VLOOKUP(D51,Equivalencia!A:H,8,FALSE)))</f>
        <v/>
      </c>
      <c r="H51" s="115" t="str">
        <f>IFERROR(IF($L$9="","",IFERROR(IFERROR(VLOOKUP(G51,Equivalencia!A:B,2,FALSE),VLOOKUP(G51,Equivalencia!E:F,2,FALSE)),VLOOKUP(G51,Equivalencia!H:I,2,FALSE))),"")</f>
        <v/>
      </c>
      <c r="I51" s="116"/>
      <c r="J51" s="55">
        <v>1</v>
      </c>
      <c r="K51" s="56" t="str">
        <f>IFERROR(VLOOKUP(G51,Notas!B:K,8,FALSE)/1000,"")</f>
        <v/>
      </c>
      <c r="L51" s="57" t="str">
        <f>IFERROR(IF(VLOOKUP(G51,Notas!B:K,9,FALSE)=".000","",VLOOKUP(G51,Notas!B:K,9,FALSE)/1000),"")</f>
        <v/>
      </c>
      <c r="M51" s="95"/>
    </row>
    <row r="52" spans="2:13" ht="14.25" customHeight="1" x14ac:dyDescent="0.3">
      <c r="B52" s="93"/>
      <c r="C52" s="159"/>
      <c r="D52" s="58" t="s">
        <v>100</v>
      </c>
      <c r="E52" s="119" t="s">
        <v>101</v>
      </c>
      <c r="F52" s="120"/>
      <c r="G52" s="59" t="str">
        <f>IF($L$9="","",IFERROR(VLOOKUP(IFERROR(VLOOKUP(D52,Notas!B:B,1,FALSE),VLOOKUP(D52,Equivalencia!A:F,5,FALSE)),Notas!B:B,1,FALSE),VLOOKUP(D52,Equivalencia!A:H,8,FALSE)))</f>
        <v/>
      </c>
      <c r="H52" s="119" t="str">
        <f>IFERROR(IF($L$9="","",IFERROR(IFERROR(VLOOKUP(G52,Equivalencia!A:B,2,FALSE),VLOOKUP(G52,Equivalencia!E:F,2,FALSE)),VLOOKUP(G52,Equivalencia!H:I,2,FALSE))),"")</f>
        <v/>
      </c>
      <c r="I52" s="120"/>
      <c r="J52" s="60">
        <v>1</v>
      </c>
      <c r="K52" s="61" t="str">
        <f>IFERROR(VLOOKUP(G52,Notas!B:K,8,FALSE)/1000,"")</f>
        <v/>
      </c>
      <c r="L52" s="62" t="str">
        <f>IFERROR(IF(VLOOKUP(G52,Notas!B:K,9,FALSE)=".000","",VLOOKUP(G52,Notas!B:K,9,FALSE)/1000),"")</f>
        <v/>
      </c>
      <c r="M52" s="95"/>
    </row>
    <row r="53" spans="2:13" ht="14.25" customHeight="1" x14ac:dyDescent="0.3">
      <c r="B53" s="93"/>
      <c r="C53" s="158" t="s">
        <v>102</v>
      </c>
      <c r="D53" s="48" t="s">
        <v>103</v>
      </c>
      <c r="E53" s="121" t="s">
        <v>104</v>
      </c>
      <c r="F53" s="122"/>
      <c r="G53" s="49" t="str">
        <f>IF($L$9="","",IFERROR(VLOOKUP(IFERROR(VLOOKUP(D53,Notas!B:B,1,FALSE),VLOOKUP(D53,Equivalencia!A:F,5,FALSE)),Notas!B:B,1,FALSE),VLOOKUP(D53,Equivalencia!A:H,8,FALSE)))</f>
        <v/>
      </c>
      <c r="H53" s="121" t="str">
        <f>IFERROR(IF($L$9="","",IFERROR(IFERROR(VLOOKUP(G53,Equivalencia!A:B,2,FALSE),VLOOKUP(G53,Equivalencia!E:F,2,FALSE)),VLOOKUP(G53,Equivalencia!H:I,2,FALSE))),"")</f>
        <v/>
      </c>
      <c r="I53" s="122"/>
      <c r="J53" s="50">
        <v>2</v>
      </c>
      <c r="K53" s="51" t="str">
        <f>IFERROR(VLOOKUP(G53,Notas!B:K,8,FALSE)/1000,"")</f>
        <v/>
      </c>
      <c r="L53" s="52" t="str">
        <f>IFERROR(IF(VLOOKUP(G53,Notas!B:K,9,FALSE)=".000","",VLOOKUP(G53,Notas!B:K,9,FALSE)/1000),"")</f>
        <v/>
      </c>
      <c r="M53" s="95"/>
    </row>
    <row r="54" spans="2:13" ht="14.25" customHeight="1" x14ac:dyDescent="0.3">
      <c r="B54" s="93"/>
      <c r="C54" s="158"/>
      <c r="D54" s="53" t="s">
        <v>105</v>
      </c>
      <c r="E54" s="115" t="s">
        <v>106</v>
      </c>
      <c r="F54" s="116"/>
      <c r="G54" s="54" t="str">
        <f>IF($L$9="","",IFERROR(VLOOKUP(IFERROR(VLOOKUP(D54,Notas!B:B,1,FALSE),VLOOKUP(D54,Equivalencia!A:F,5,FALSE)),Notas!B:B,1,FALSE),VLOOKUP(D54,Equivalencia!A:H,8,FALSE)))</f>
        <v/>
      </c>
      <c r="H54" s="115" t="str">
        <f>IFERROR(IF($L$9="","",IFERROR(IFERROR(VLOOKUP(G54,Equivalencia!A:B,2,FALSE),VLOOKUP(G54,Equivalencia!E:F,2,FALSE)),VLOOKUP(G54,Equivalencia!H:I,2,FALSE))),"")</f>
        <v/>
      </c>
      <c r="I54" s="116"/>
      <c r="J54" s="55">
        <v>2</v>
      </c>
      <c r="K54" s="56" t="str">
        <f>IFERROR(VLOOKUP(G54,Notas!B:K,8,FALSE)/1000,"")</f>
        <v/>
      </c>
      <c r="L54" s="57" t="str">
        <f>IFERROR(IF(VLOOKUP(G54,Notas!B:K,9,FALSE)=".000","",VLOOKUP(G54,Notas!B:K,9,FALSE)/1000),"")</f>
        <v/>
      </c>
      <c r="M54" s="95"/>
    </row>
    <row r="55" spans="2:13" ht="14.25" customHeight="1" x14ac:dyDescent="0.3">
      <c r="B55" s="93"/>
      <c r="C55" s="158"/>
      <c r="D55" s="53" t="s">
        <v>107</v>
      </c>
      <c r="E55" s="115" t="s">
        <v>108</v>
      </c>
      <c r="F55" s="116"/>
      <c r="G55" s="54" t="str">
        <f>IF($L$9="","",IFERROR(VLOOKUP(IFERROR(VLOOKUP(D55,Notas!B:B,1,FALSE),VLOOKUP(D55,Equivalencia!A:F,5,FALSE)),Notas!B:B,1,FALSE),VLOOKUP(D55,Equivalencia!A:H,8,FALSE)))</f>
        <v/>
      </c>
      <c r="H55" s="115" t="str">
        <f>IFERROR(IF($L$9="","",IFERROR(IFERROR(VLOOKUP(G55,Equivalencia!A:B,2,FALSE),VLOOKUP(G55,Equivalencia!E:F,2,FALSE)),VLOOKUP(G55,Equivalencia!H:I,2,FALSE))),"")</f>
        <v/>
      </c>
      <c r="I55" s="116"/>
      <c r="J55" s="55">
        <v>1</v>
      </c>
      <c r="K55" s="56" t="str">
        <f>IFERROR(VLOOKUP(G55,Notas!B:K,8,FALSE)/1000,"")</f>
        <v/>
      </c>
      <c r="L55" s="57" t="str">
        <f>IFERROR(IF(VLOOKUP(G55,Notas!B:K,9,FALSE)=".000","",VLOOKUP(G55,Notas!B:K,9,FALSE)/1000),"")</f>
        <v/>
      </c>
      <c r="M55" s="95"/>
    </row>
    <row r="56" spans="2:13" ht="14.25" customHeight="1" x14ac:dyDescent="0.3">
      <c r="B56" s="93"/>
      <c r="C56" s="158"/>
      <c r="D56" s="53" t="s">
        <v>109</v>
      </c>
      <c r="E56" s="115" t="s">
        <v>110</v>
      </c>
      <c r="F56" s="116"/>
      <c r="G56" s="54" t="str">
        <f>IF($L$9="","",IFERROR(VLOOKUP(IFERROR(VLOOKUP(D56,Notas!B:B,1,FALSE),VLOOKUP(D56,Equivalencia!A:F,5,FALSE)),Notas!B:B,1,FALSE),VLOOKUP(D56,Equivalencia!A:H,8,FALSE)))</f>
        <v/>
      </c>
      <c r="H56" s="115" t="str">
        <f>IFERROR(IF($L$9="","",IFERROR(IFERROR(VLOOKUP(G56,Equivalencia!A:B,2,FALSE),VLOOKUP(G56,Equivalencia!E:F,2,FALSE)),VLOOKUP(G56,Equivalencia!H:I,2,FALSE))),"")</f>
        <v/>
      </c>
      <c r="I56" s="116"/>
      <c r="J56" s="55">
        <v>1</v>
      </c>
      <c r="K56" s="56" t="str">
        <f>IFERROR(VLOOKUP(G56,Notas!B:K,8,FALSE)/1000,"")</f>
        <v/>
      </c>
      <c r="L56" s="57" t="str">
        <f>IFERROR(IF(VLOOKUP(G56,Notas!B:K,9,FALSE)=".000","",VLOOKUP(G56,Notas!B:K,9,FALSE)/1000),"")</f>
        <v/>
      </c>
      <c r="M56" s="95"/>
    </row>
    <row r="57" spans="2:13" ht="14.25" customHeight="1" x14ac:dyDescent="0.3">
      <c r="B57" s="93"/>
      <c r="C57" s="158"/>
      <c r="D57" s="53" t="s">
        <v>111</v>
      </c>
      <c r="E57" s="115" t="s">
        <v>112</v>
      </c>
      <c r="F57" s="116"/>
      <c r="G57" s="54" t="str">
        <f>IF($L$9="","",IFERROR(VLOOKUP(IFERROR(VLOOKUP(D57,Notas!B:B,1,FALSE),VLOOKUP(D57,Equivalencia!A:F,5,FALSE)),Notas!B:B,1,FALSE),VLOOKUP(D57,Equivalencia!A:H,8,FALSE)))</f>
        <v/>
      </c>
      <c r="H57" s="115" t="str">
        <f>IFERROR(IF($L$9="","",IFERROR(IFERROR(VLOOKUP(G57,Equivalencia!A:B,2,FALSE),VLOOKUP(G57,Equivalencia!E:F,2,FALSE)),VLOOKUP(G57,Equivalencia!H:I,2,FALSE))),"")</f>
        <v/>
      </c>
      <c r="I57" s="116"/>
      <c r="J57" s="55">
        <v>1</v>
      </c>
      <c r="K57" s="56" t="str">
        <f>IFERROR(VLOOKUP(G57,Notas!B:K,8,FALSE)/1000,"")</f>
        <v/>
      </c>
      <c r="L57" s="57" t="str">
        <f>IFERROR(IF(VLOOKUP(G57,Notas!B:K,9,FALSE)=".000","",VLOOKUP(G57,Notas!B:K,9,FALSE)/1000),"")</f>
        <v/>
      </c>
      <c r="M57" s="95"/>
    </row>
    <row r="58" spans="2:13" ht="14.25" customHeight="1" x14ac:dyDescent="0.3">
      <c r="B58" s="93"/>
      <c r="C58" s="158"/>
      <c r="D58" s="53" t="s">
        <v>113</v>
      </c>
      <c r="E58" s="115" t="s">
        <v>114</v>
      </c>
      <c r="F58" s="116"/>
      <c r="G58" s="54" t="str">
        <f>IF($L$9="","",IFERROR(VLOOKUP(IFERROR(VLOOKUP(D58,Notas!B:B,1,FALSE),VLOOKUP(D58,Equivalencia!A:F,5,FALSE)),Notas!B:B,1,FALSE),VLOOKUP(D58,Equivalencia!A:H,8,FALSE)))</f>
        <v/>
      </c>
      <c r="H58" s="115" t="str">
        <f>IFERROR(IF($L$9="","",IFERROR(IFERROR(VLOOKUP(G58,Equivalencia!A:B,2,FALSE),VLOOKUP(G58,Equivalencia!E:F,2,FALSE)),VLOOKUP(G58,Equivalencia!H:I,2,FALSE))),"")</f>
        <v/>
      </c>
      <c r="I58" s="116"/>
      <c r="J58" s="55">
        <v>2</v>
      </c>
      <c r="K58" s="56" t="str">
        <f>IFERROR(VLOOKUP(G58,Notas!B:K,8,FALSE)/1000,"")</f>
        <v/>
      </c>
      <c r="L58" s="57" t="str">
        <f>IFERROR(IF(VLOOKUP(G58,Notas!B:K,9,FALSE)=".000","",VLOOKUP(G58,Notas!B:K,9,FALSE)/1000),"")</f>
        <v/>
      </c>
      <c r="M58" s="95"/>
    </row>
    <row r="59" spans="2:13" ht="14.25" customHeight="1" x14ac:dyDescent="0.3">
      <c r="B59" s="93"/>
      <c r="C59" s="158"/>
      <c r="D59" s="53" t="s">
        <v>115</v>
      </c>
      <c r="E59" s="115" t="s">
        <v>116</v>
      </c>
      <c r="F59" s="116"/>
      <c r="G59" s="54" t="str">
        <f>IF($L$9="","",IFERROR(VLOOKUP(IFERROR(VLOOKUP(D59,Notas!B:B,1,FALSE),VLOOKUP(D59,Equivalencia!A:F,5,FALSE)),Notas!B:B,1,FALSE),VLOOKUP(D59,Equivalencia!A:H,8,FALSE)))</f>
        <v/>
      </c>
      <c r="H59" s="115" t="str">
        <f>IFERROR(IF($L$9="","",IFERROR(IFERROR(VLOOKUP(G59,Equivalencia!A:B,2,FALSE),VLOOKUP(G59,Equivalencia!E:F,2,FALSE)),VLOOKUP(G59,Equivalencia!H:I,2,FALSE))),"")</f>
        <v/>
      </c>
      <c r="I59" s="116"/>
      <c r="J59" s="55">
        <v>2</v>
      </c>
      <c r="K59" s="56" t="str">
        <f>IFERROR(VLOOKUP(G59,Notas!B:K,8,FALSE)/1000,"")</f>
        <v/>
      </c>
      <c r="L59" s="57" t="str">
        <f>IFERROR(IF(VLOOKUP(G59,Notas!B:K,9,FALSE)=".000","",VLOOKUP(G59,Notas!B:K,9,FALSE)/1000),"")</f>
        <v/>
      </c>
      <c r="M59" s="95"/>
    </row>
    <row r="60" spans="2:13" ht="14.25" customHeight="1" x14ac:dyDescent="0.3">
      <c r="B60" s="93"/>
      <c r="C60" s="158"/>
      <c r="D60" s="53" t="s">
        <v>117</v>
      </c>
      <c r="E60" s="115" t="s">
        <v>118</v>
      </c>
      <c r="F60" s="116"/>
      <c r="G60" s="54" t="str">
        <f>IF($L$9="","",IFERROR(VLOOKUP(IFERROR(VLOOKUP(D60,Notas!B:B,1,FALSE),VLOOKUP(D60,Equivalencia!A:F,5,FALSE)),Notas!B:B,1,FALSE),VLOOKUP(D60,Equivalencia!A:H,8,FALSE)))</f>
        <v/>
      </c>
      <c r="H60" s="115" t="str">
        <f>IFERROR(IF($L$9="","",IFERROR(IFERROR(VLOOKUP(G60,Equivalencia!A:B,2,FALSE),VLOOKUP(G60,Equivalencia!E:F,2,FALSE)),VLOOKUP(G60,Equivalencia!H:I,2,FALSE))),"")</f>
        <v/>
      </c>
      <c r="I60" s="116"/>
      <c r="J60" s="55">
        <v>2</v>
      </c>
      <c r="K60" s="56" t="str">
        <f>IFERROR(VLOOKUP(G60,Notas!B:K,8,FALSE)/1000,"")</f>
        <v/>
      </c>
      <c r="L60" s="57" t="str">
        <f>IFERROR(IF(VLOOKUP(G60,Notas!B:K,9,FALSE)=".000","",VLOOKUP(G60,Notas!B:K,9,FALSE)/1000),"")</f>
        <v/>
      </c>
      <c r="M60" s="95"/>
    </row>
    <row r="61" spans="2:13" ht="14.25" customHeight="1" x14ac:dyDescent="0.3">
      <c r="B61" s="93"/>
      <c r="C61" s="158"/>
      <c r="D61" s="53" t="s">
        <v>119</v>
      </c>
      <c r="E61" s="115" t="s">
        <v>120</v>
      </c>
      <c r="F61" s="116"/>
      <c r="G61" s="54" t="str">
        <f>IF($L$9="","",IFERROR(VLOOKUP(IFERROR(VLOOKUP(D61,Notas!B:B,1,FALSE),VLOOKUP(D61,Equivalencia!A:F,5,FALSE)),Notas!B:B,1,FALSE),VLOOKUP(D61,Equivalencia!A:H,8,FALSE)))</f>
        <v/>
      </c>
      <c r="H61" s="115" t="str">
        <f>IFERROR(IF($L$9="","",IFERROR(IFERROR(VLOOKUP(G61,Equivalencia!A:B,2,FALSE),VLOOKUP(G61,Equivalencia!E:F,2,FALSE)),VLOOKUP(G61,Equivalencia!H:I,2,FALSE))),"")</f>
        <v/>
      </c>
      <c r="I61" s="116"/>
      <c r="J61" s="55">
        <v>2</v>
      </c>
      <c r="K61" s="56" t="str">
        <f>IFERROR(VLOOKUP(G61,Notas!B:K,8,FALSE)/1000,"")</f>
        <v/>
      </c>
      <c r="L61" s="57" t="str">
        <f>IFERROR(IF(VLOOKUP(G61,Notas!B:K,9,FALSE)=".000","",VLOOKUP(G61,Notas!B:K,9,FALSE)/1000),"")</f>
        <v/>
      </c>
      <c r="M61" s="95"/>
    </row>
    <row r="62" spans="2:13" ht="14.25" customHeight="1" x14ac:dyDescent="0.3">
      <c r="B62" s="93"/>
      <c r="C62" s="158"/>
      <c r="D62" s="53" t="s">
        <v>121</v>
      </c>
      <c r="E62" s="115" t="s">
        <v>122</v>
      </c>
      <c r="F62" s="116"/>
      <c r="G62" s="54" t="str">
        <f>IF($L$9="","",IFERROR(VLOOKUP(IFERROR(VLOOKUP(D62,Notas!B:B,1,FALSE),VLOOKUP(D62,Equivalencia!A:F,5,FALSE)),Notas!B:B,1,FALSE),VLOOKUP(D62,Equivalencia!A:H,8,FALSE)))</f>
        <v/>
      </c>
      <c r="H62" s="115" t="str">
        <f>IFERROR(IF($L$9="","",IFERROR(IFERROR(VLOOKUP(G62,Equivalencia!A:B,2,FALSE),VLOOKUP(G62,Equivalencia!E:F,2,FALSE)),VLOOKUP(G62,Equivalencia!H:I,2,FALSE))),"")</f>
        <v/>
      </c>
      <c r="I62" s="116"/>
      <c r="J62" s="55">
        <v>2</v>
      </c>
      <c r="K62" s="56" t="str">
        <f>IFERROR(VLOOKUP(G62,Notas!B:K,8,FALSE)/1000,"")</f>
        <v/>
      </c>
      <c r="L62" s="57" t="str">
        <f>IFERROR(IF(VLOOKUP(G62,Notas!B:K,9,FALSE)=".000","",VLOOKUP(G62,Notas!B:K,9,FALSE)/1000),"")</f>
        <v/>
      </c>
      <c r="M62" s="95"/>
    </row>
    <row r="63" spans="2:13" ht="14.25" customHeight="1" x14ac:dyDescent="0.3">
      <c r="B63" s="93"/>
      <c r="C63" s="158"/>
      <c r="D63" s="53" t="s">
        <v>123</v>
      </c>
      <c r="E63" s="115" t="s">
        <v>124</v>
      </c>
      <c r="F63" s="116"/>
      <c r="G63" s="54" t="str">
        <f>IF($L$9="","",IFERROR(VLOOKUP(IFERROR(VLOOKUP(D63,Notas!B:B,1,FALSE),VLOOKUP(D63,Equivalencia!A:F,5,FALSE)),Notas!B:B,1,FALSE),VLOOKUP(D63,Equivalencia!A:H,8,FALSE)))</f>
        <v/>
      </c>
      <c r="H63" s="115" t="str">
        <f>IFERROR(IF($L$9="","",IFERROR(IFERROR(VLOOKUP(G63,Equivalencia!A:B,2,FALSE),VLOOKUP(G63,Equivalencia!E:F,2,FALSE)),VLOOKUP(G63,Equivalencia!H:I,2,FALSE))),"")</f>
        <v/>
      </c>
      <c r="I63" s="116"/>
      <c r="J63" s="55">
        <v>2</v>
      </c>
      <c r="K63" s="56" t="str">
        <f>IFERROR(VLOOKUP(G63,Notas!B:K,8,FALSE)/1000,"")</f>
        <v/>
      </c>
      <c r="L63" s="57" t="str">
        <f>IFERROR(IF(VLOOKUP(G63,Notas!B:K,9,FALSE)=".000","",VLOOKUP(G63,Notas!B:K,9,FALSE)/1000),"")</f>
        <v/>
      </c>
      <c r="M63" s="95"/>
    </row>
    <row r="64" spans="2:13" ht="14.25" customHeight="1" x14ac:dyDescent="0.3">
      <c r="B64" s="93"/>
      <c r="C64" s="158"/>
      <c r="D64" s="53" t="s">
        <v>125</v>
      </c>
      <c r="E64" s="115" t="s">
        <v>126</v>
      </c>
      <c r="F64" s="116"/>
      <c r="G64" s="54" t="str">
        <f>IF($L$9="","",IFERROR(VLOOKUP(IFERROR(VLOOKUP(D64,Notas!B:B,1,FALSE),VLOOKUP(D64,Equivalencia!A:F,5,FALSE)),Notas!B:B,1,FALSE),VLOOKUP(D64,Equivalencia!A:H,8,FALSE)))</f>
        <v/>
      </c>
      <c r="H64" s="115" t="str">
        <f>IFERROR(IF($L$9="","",IFERROR(IFERROR(VLOOKUP(G64,Equivalencia!A:B,2,FALSE),VLOOKUP(G64,Equivalencia!E:F,2,FALSE)),VLOOKUP(G64,Equivalencia!H:I,2,FALSE))),"")</f>
        <v/>
      </c>
      <c r="I64" s="116"/>
      <c r="J64" s="55">
        <v>1</v>
      </c>
      <c r="K64" s="56" t="str">
        <f>IFERROR(VLOOKUP(G64,Notas!B:K,8,FALSE)/1000,"")</f>
        <v/>
      </c>
      <c r="L64" s="57" t="str">
        <f>IFERROR(IF(VLOOKUP(G64,Notas!B:K,9,FALSE)=".000","",VLOOKUP(G64,Notas!B:K,9,FALSE)/1000),"")</f>
        <v/>
      </c>
      <c r="M64" s="95"/>
    </row>
    <row r="65" spans="2:14" ht="14.25" customHeight="1" x14ac:dyDescent="0.3">
      <c r="B65" s="93"/>
      <c r="C65" s="159"/>
      <c r="D65" s="58" t="s">
        <v>199</v>
      </c>
      <c r="E65" s="119" t="s">
        <v>128</v>
      </c>
      <c r="F65" s="120"/>
      <c r="G65" s="59" t="str">
        <f>IF($L$9="","",IFERROR(VLOOKUP(IFERROR(VLOOKUP(D65,Notas!B:B,1,FALSE),VLOOKUP(D65,Equivalencia!A:F,5,FALSE)),Notas!B:B,1,FALSE),VLOOKUP(D65,Equivalencia!A:H,8,FALSE)))</f>
        <v/>
      </c>
      <c r="H65" s="119" t="str">
        <f>IFERROR(IF($L$9="","",IFERROR(IFERROR(VLOOKUP(G65,Equivalencia!A:B,2,FALSE),VLOOKUP(G65,Equivalencia!E:F,2,FALSE)),VLOOKUP(G65,Equivalencia!H:I,2,FALSE))),"")</f>
        <v/>
      </c>
      <c r="I65" s="120"/>
      <c r="J65" s="60">
        <v>2</v>
      </c>
      <c r="K65" s="61" t="str">
        <f>IFERROR(VLOOKUP(G65,Notas!B:K,8,FALSE)/1000,"")</f>
        <v/>
      </c>
      <c r="L65" s="62" t="str">
        <f>IFERROR(IF(VLOOKUP(G65,Notas!B:K,9,FALSE)=".000","",VLOOKUP(G65,Notas!B:K,9,FALSE)/1000),"")</f>
        <v/>
      </c>
      <c r="M65" s="95"/>
    </row>
    <row r="66" spans="2:14" ht="14.25" customHeight="1" x14ac:dyDescent="0.3">
      <c r="B66" s="93"/>
      <c r="C66" s="158" t="s">
        <v>129</v>
      </c>
      <c r="D66" s="48" t="s">
        <v>130</v>
      </c>
      <c r="E66" s="121" t="s">
        <v>131</v>
      </c>
      <c r="F66" s="122"/>
      <c r="G66" s="49" t="str">
        <f>IF($L$9="","",IFERROR(VLOOKUP(IFERROR(VLOOKUP(D66,Notas!B:B,1,FALSE),VLOOKUP(D66,Equivalencia!A:F,5,FALSE)),Notas!B:B,1,FALSE),VLOOKUP(D66,Equivalencia!A:H,8,FALSE)))</f>
        <v/>
      </c>
      <c r="H66" s="121" t="str">
        <f>IFERROR(IF($L$9="","",IFERROR(IFERROR(VLOOKUP(G66,Equivalencia!A:B,2,FALSE),VLOOKUP(G66,Equivalencia!E:F,2,FALSE)),VLOOKUP(G66,Equivalencia!H:I,2,FALSE))),"")</f>
        <v/>
      </c>
      <c r="I66" s="122"/>
      <c r="J66" s="50">
        <v>1</v>
      </c>
      <c r="K66" s="51" t="str">
        <f>IFERROR(VLOOKUP(G66,Notas!B:K,8,FALSE)/1000,"")</f>
        <v/>
      </c>
      <c r="L66" s="52" t="str">
        <f>IFERROR(IF(VLOOKUP(G66,Notas!B:K,9,FALSE)=".000","",VLOOKUP(G66,Notas!B:K,9,FALSE)/1000),"")</f>
        <v/>
      </c>
      <c r="M66" s="95"/>
    </row>
    <row r="67" spans="2:14" ht="14.25" customHeight="1" x14ac:dyDescent="0.3">
      <c r="B67" s="93"/>
      <c r="C67" s="158"/>
      <c r="D67" s="53" t="s">
        <v>132</v>
      </c>
      <c r="E67" s="115" t="s">
        <v>133</v>
      </c>
      <c r="F67" s="116"/>
      <c r="G67" s="54" t="str">
        <f>IF($L$9="","",IFERROR(VLOOKUP(IFERROR(VLOOKUP(D67,Notas!B:B,1,FALSE),VLOOKUP(D67,Equivalencia!A:F,5,FALSE)),Notas!B:B,1,FALSE),VLOOKUP(D67,Equivalencia!A:H,8,FALSE)))</f>
        <v/>
      </c>
      <c r="H67" s="115" t="str">
        <f>IFERROR(IF($L$9="","",IFERROR(IFERROR(VLOOKUP(G67,Equivalencia!A:B,2,FALSE),VLOOKUP(G67,Equivalencia!E:F,2,FALSE)),VLOOKUP(G67,Equivalencia!H:I,2,FALSE))),"")</f>
        <v/>
      </c>
      <c r="I67" s="116"/>
      <c r="J67" s="55">
        <v>1</v>
      </c>
      <c r="K67" s="56" t="str">
        <f>IFERROR(VLOOKUP(G67,Notas!B:K,8,FALSE)/1000,"")</f>
        <v/>
      </c>
      <c r="L67" s="57" t="str">
        <f>IFERROR(IF(VLOOKUP(G67,Notas!B:K,9,FALSE)=".000","",VLOOKUP(G67,Notas!B:K,9,FALSE)/1000),"")</f>
        <v/>
      </c>
      <c r="M67" s="95"/>
    </row>
    <row r="68" spans="2:14" ht="14.25" customHeight="1" x14ac:dyDescent="0.3">
      <c r="B68" s="93"/>
      <c r="C68" s="158"/>
      <c r="D68" s="53" t="s">
        <v>134</v>
      </c>
      <c r="E68" s="115" t="s">
        <v>135</v>
      </c>
      <c r="F68" s="116"/>
      <c r="G68" s="54" t="str">
        <f>IF($L$9="","",IFERROR(VLOOKUP(IFERROR(VLOOKUP(D68,Notas!B:B,1,FALSE),VLOOKUP(D68,Equivalencia!A:F,5,FALSE)),Notas!B:B,1,FALSE),VLOOKUP(D68,Equivalencia!A:H,8,FALSE)))</f>
        <v/>
      </c>
      <c r="H68" s="115" t="str">
        <f>IFERROR(IF($L$9="","",IFERROR(IFERROR(VLOOKUP(G68,Equivalencia!A:B,2,FALSE),VLOOKUP(G68,Equivalencia!E:F,2,FALSE)),VLOOKUP(G68,Equivalencia!H:I,2,FALSE))),"")</f>
        <v/>
      </c>
      <c r="I68" s="116"/>
      <c r="J68" s="55">
        <v>1</v>
      </c>
      <c r="K68" s="56" t="str">
        <f>IFERROR(VLOOKUP(G68,Notas!B:K,8,FALSE)/1000,"")</f>
        <v/>
      </c>
      <c r="L68" s="57" t="str">
        <f>IFERROR(IF(VLOOKUP(G68,Notas!B:K,9,FALSE)=".000","",VLOOKUP(G68,Notas!B:K,9,FALSE)/1000),"")</f>
        <v/>
      </c>
      <c r="M68" s="95"/>
    </row>
    <row r="69" spans="2:14" ht="14.25" customHeight="1" x14ac:dyDescent="0.3">
      <c r="B69" s="93"/>
      <c r="C69" s="159"/>
      <c r="D69" s="58" t="s">
        <v>136</v>
      </c>
      <c r="E69" s="119" t="s">
        <v>137</v>
      </c>
      <c r="F69" s="120"/>
      <c r="G69" s="59" t="str">
        <f>IF($L$9="","",IFERROR(VLOOKUP(IFERROR(VLOOKUP(D69,Notas!B:B,1,FALSE),VLOOKUP(D69,Equivalencia!A:F,5,FALSE)),Notas!B:B,1,FALSE),VLOOKUP(D69,Equivalencia!A:H,8,FALSE)))</f>
        <v/>
      </c>
      <c r="H69" s="119" t="str">
        <f>IFERROR(IF($L$9="","",IFERROR(IFERROR(VLOOKUP(G69,Equivalencia!A:B,2,FALSE),VLOOKUP(G69,Equivalencia!E:F,2,FALSE)),VLOOKUP(G69,Equivalencia!H:I,2,FALSE))),"")</f>
        <v/>
      </c>
      <c r="I69" s="120"/>
      <c r="J69" s="60">
        <v>2</v>
      </c>
      <c r="K69" s="61" t="str">
        <f>IFERROR(VLOOKUP(G69,Notas!B:K,8,FALSE)/1000,"")</f>
        <v/>
      </c>
      <c r="L69" s="62" t="str">
        <f>IFERROR(IF(VLOOKUP(G69,Notas!B:K,9,FALSE)=".000","",VLOOKUP(G69,Notas!B:K,9,FALSE)/1000),"")</f>
        <v/>
      </c>
      <c r="M69" s="95"/>
    </row>
    <row r="70" spans="2:14" ht="14.25" customHeight="1" x14ac:dyDescent="0.3">
      <c r="B70" s="106">
        <v>1</v>
      </c>
      <c r="C70" s="157" t="s">
        <v>138</v>
      </c>
      <c r="D70" s="182" t="s">
        <v>139</v>
      </c>
      <c r="E70" s="183"/>
      <c r="F70" s="184"/>
      <c r="G70" s="48" t="str">
        <f>IF($L$9="","",IFERROR(IF(VLOOKUP($I$9&amp;B70,Optativas!$C:$F,2,FALSE)=0,"",VLOOKUP($I$9&amp;B70,Optativas!$C:$F,2,FALSE)),""))</f>
        <v/>
      </c>
      <c r="H70" s="121" t="str">
        <f>IF($L$9="","",IFERROR(VLOOKUP(G70,Optativas!D:F,2,FALSE),""))</f>
        <v/>
      </c>
      <c r="I70" s="122"/>
      <c r="J70" s="55" t="str">
        <f>IFERROR(VLOOKUP(G70,Optativas!D:F,3,FALSE),"")</f>
        <v/>
      </c>
      <c r="K70" s="51" t="str">
        <f>IFERROR(VLOOKUP(G70,Notas!B:K,8,FALSE)/1000,"")</f>
        <v/>
      </c>
      <c r="L70" s="66" t="str">
        <f>IFERROR(IF(VLOOKUP(G70,Notas!B:K,9,FALSE)=".000","",VLOOKUP(G70,Notas!B:K,9,FALSE)/1000),"")</f>
        <v/>
      </c>
      <c r="M70" s="95"/>
    </row>
    <row r="71" spans="2:14" ht="14.25" customHeight="1" x14ac:dyDescent="0.3">
      <c r="B71" s="106">
        <v>2</v>
      </c>
      <c r="C71" s="158"/>
      <c r="D71" s="185"/>
      <c r="E71" s="186"/>
      <c r="F71" s="187"/>
      <c r="G71" s="53" t="str">
        <f>IF($L$9="","",IFERROR(IF(VLOOKUP($I$9&amp;B71,Optativas!$C:$F,2,FALSE)=0,"",VLOOKUP($I$9&amp;B71,Optativas!$C:$F,2,FALSE)),""))</f>
        <v/>
      </c>
      <c r="H71" s="103" t="str">
        <f>IF($L$9="","",IFERROR(VLOOKUP(G71,Optativas!D:F,2,FALSE),""))</f>
        <v/>
      </c>
      <c r="I71" s="104"/>
      <c r="J71" s="55" t="str">
        <f>IFERROR(VLOOKUP(G71,Optativas!D:F,3,FALSE),"")</f>
        <v/>
      </c>
      <c r="K71" s="56" t="str">
        <f>IFERROR(VLOOKUP(G71,Notas!B:K,8,FALSE)/1000,"")</f>
        <v/>
      </c>
      <c r="L71" s="57" t="str">
        <f>IFERROR(IF(VLOOKUP(G71,Notas!B:K,9,FALSE)=".000","",VLOOKUP(G71,Notas!B:K,9,FALSE)/1000),"")</f>
        <v/>
      </c>
      <c r="M71" s="95"/>
    </row>
    <row r="72" spans="2:14" ht="14.25" customHeight="1" x14ac:dyDescent="0.3">
      <c r="B72" s="106">
        <v>3</v>
      </c>
      <c r="C72" s="158"/>
      <c r="D72" s="185"/>
      <c r="E72" s="186"/>
      <c r="F72" s="187"/>
      <c r="G72" s="53" t="str">
        <f>IF($L$9="","",IFERROR(IF(VLOOKUP($I$9&amp;B72,Optativas!$C:$F,2,FALSE)=0,"",VLOOKUP($I$9&amp;B72,Optativas!$C:$F,2,FALSE)),""))</f>
        <v/>
      </c>
      <c r="H72" s="103" t="str">
        <f>IF($L$9="","",IFERROR(VLOOKUP(G72,Optativas!D:F,2,FALSE),""))</f>
        <v/>
      </c>
      <c r="I72" s="104"/>
      <c r="J72" s="55" t="str">
        <f>IFERROR(VLOOKUP(G72,Optativas!D:F,3,FALSE),"")</f>
        <v/>
      </c>
      <c r="K72" s="56" t="str">
        <f>IFERROR(VLOOKUP(G72,Notas!B:K,8,FALSE)/1000,"")</f>
        <v/>
      </c>
      <c r="L72" s="57" t="str">
        <f>IFERROR(IF(VLOOKUP(G72,Notas!B:K,9,FALSE)=".000","",VLOOKUP(G72,Notas!B:K,9,FALSE)/1000),"")</f>
        <v/>
      </c>
      <c r="M72" s="95"/>
    </row>
    <row r="73" spans="2:14" ht="14.25" customHeight="1" thickBot="1" x14ac:dyDescent="0.35">
      <c r="B73" s="106">
        <v>4</v>
      </c>
      <c r="C73" s="178"/>
      <c r="D73" s="185"/>
      <c r="E73" s="186"/>
      <c r="F73" s="187"/>
      <c r="G73" s="53" t="str">
        <f>IF($L$9="","",IFERROR(IF(VLOOKUP($I$9&amp;B73,Optativas!$C:$F,2,FALSE)=0,"",VLOOKUP($I$9&amp;B73,Optativas!$C:$F,2,FALSE)),""))</f>
        <v/>
      </c>
      <c r="H73" s="103" t="str">
        <f>IF($L$9="","",IFERROR(VLOOKUP(G73,Optativas!D:F,2,FALSE),""))</f>
        <v/>
      </c>
      <c r="I73" s="104"/>
      <c r="J73" s="55" t="str">
        <f>IFERROR(VLOOKUP(G73,Optativas!D:F,3,FALSE),"")</f>
        <v/>
      </c>
      <c r="K73" s="56" t="str">
        <f>IFERROR(VLOOKUP(G73,Notas!B:K,8,FALSE)/1000,"")</f>
        <v/>
      </c>
      <c r="L73" s="57" t="str">
        <f>IFERROR(IF(VLOOKUP(G73,Notas!B:K,9,FALSE)=".000","",VLOOKUP(G73,Notas!B:K,9,FALSE)/1000),"")</f>
        <v/>
      </c>
      <c r="M73" s="96"/>
    </row>
    <row r="74" spans="2:14" ht="14.25" customHeight="1" x14ac:dyDescent="0.3">
      <c r="B74" s="106">
        <v>5</v>
      </c>
      <c r="C74" s="158"/>
      <c r="D74" s="188"/>
      <c r="E74" s="189"/>
      <c r="F74" s="190"/>
      <c r="G74" s="53" t="str">
        <f>IF($L$9="","",IFERROR(IF(VLOOKUP($I$9&amp;B74,Optativas!$C:$F,2,FALSE)=0,"",VLOOKUP($I$9&amp;B74,Optativas!$C:$F,2,FALSE)),""))</f>
        <v/>
      </c>
      <c r="H74" s="103" t="str">
        <f>IF($L$9="","",IFERROR(VLOOKUP(G74,Optativas!D:F,2,FALSE),""))</f>
        <v/>
      </c>
      <c r="I74" s="104"/>
      <c r="J74" s="55" t="str">
        <f>IFERROR(VLOOKUP(G74,Optativas!D:F,3,FALSE),"")</f>
        <v/>
      </c>
      <c r="K74" s="56" t="str">
        <f>IFERROR(VLOOKUP(G74,Notas!B:K,8,FALSE)/1000,"")</f>
        <v/>
      </c>
      <c r="L74" s="57" t="str">
        <f>IFERROR(IF(VLOOKUP(G74,Notas!B:K,9,FALSE)=".000","",VLOOKUP(G74,Notas!B:K,9,FALSE)/1000),"")</f>
        <v/>
      </c>
      <c r="M74" s="95"/>
    </row>
    <row r="75" spans="2:14" ht="12.15" customHeight="1" x14ac:dyDescent="0.3">
      <c r="B75" s="93"/>
      <c r="C75" s="44"/>
      <c r="D75" s="45"/>
      <c r="E75" s="46"/>
      <c r="F75" s="46"/>
      <c r="G75" s="45"/>
      <c r="H75" s="46"/>
      <c r="I75" s="46"/>
      <c r="J75" s="47"/>
      <c r="K75" s="45"/>
      <c r="L75" s="45"/>
      <c r="M75" s="95"/>
      <c r="N75" s="84" t="s">
        <v>0</v>
      </c>
    </row>
    <row r="76" spans="2:14" ht="13.5" customHeight="1" x14ac:dyDescent="0.3">
      <c r="B76" s="93"/>
      <c r="C76" s="167" t="s">
        <v>140</v>
      </c>
      <c r="D76" s="168"/>
      <c r="E76" s="168"/>
      <c r="F76" s="168"/>
      <c r="G76" s="168"/>
      <c r="H76" s="168"/>
      <c r="I76" s="168"/>
      <c r="J76" s="161">
        <f>SUM(J12:J74)</f>
        <v>110</v>
      </c>
      <c r="K76" s="162"/>
      <c r="L76" s="163"/>
      <c r="M76" s="95"/>
    </row>
    <row r="77" spans="2:14" ht="13.5" customHeight="1" x14ac:dyDescent="0.3">
      <c r="B77" s="93"/>
      <c r="C77" s="169" t="s">
        <v>141</v>
      </c>
      <c r="D77" s="170"/>
      <c r="E77" s="170"/>
      <c r="F77" s="170"/>
      <c r="G77" s="170"/>
      <c r="H77" s="170"/>
      <c r="I77" s="170"/>
      <c r="J77" s="164">
        <f>SUMPRODUCT(J12:J74,K12:K74)/J76</f>
        <v>0</v>
      </c>
      <c r="K77" s="165"/>
      <c r="L77" s="166"/>
      <c r="M77" s="95"/>
    </row>
    <row r="78" spans="2:14" ht="12.15" customHeight="1" x14ac:dyDescent="0.3">
      <c r="B78" s="113"/>
      <c r="C78" s="6"/>
      <c r="D78" s="3"/>
      <c r="E78" s="4"/>
      <c r="F78" s="4"/>
      <c r="G78" s="3"/>
      <c r="H78" s="4"/>
      <c r="I78" s="4"/>
      <c r="J78" s="5"/>
      <c r="K78" s="3"/>
      <c r="L78" s="3"/>
      <c r="M78" s="95"/>
    </row>
    <row r="79" spans="2:14" ht="12.15" customHeight="1" x14ac:dyDescent="0.3">
      <c r="B79" s="93"/>
      <c r="C79" s="171" t="s">
        <v>142</v>
      </c>
      <c r="D79" s="172"/>
      <c r="E79" s="172"/>
      <c r="F79" s="172"/>
      <c r="G79" s="172"/>
      <c r="H79" s="172"/>
      <c r="I79" s="172"/>
      <c r="J79" s="172"/>
      <c r="K79" s="172"/>
      <c r="L79" s="173"/>
      <c r="M79" s="95"/>
    </row>
    <row r="80" spans="2:14" ht="42" customHeight="1" x14ac:dyDescent="0.3">
      <c r="B80" s="93"/>
      <c r="C80" s="174"/>
      <c r="D80" s="175"/>
      <c r="E80" s="175"/>
      <c r="F80" s="175"/>
      <c r="G80" s="175"/>
      <c r="H80" s="175"/>
      <c r="I80" s="175"/>
      <c r="J80" s="175"/>
      <c r="K80" s="175"/>
      <c r="L80" s="176"/>
      <c r="M80" s="95"/>
    </row>
    <row r="81" spans="2:13" ht="8.25" customHeight="1" x14ac:dyDescent="0.3">
      <c r="B81" s="93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95"/>
    </row>
    <row r="82" spans="2:13" ht="14.4" customHeight="1" x14ac:dyDescent="0.3">
      <c r="B82" s="93"/>
      <c r="C82" s="6"/>
      <c r="D82" s="40"/>
      <c r="E82" s="179"/>
      <c r="F82" s="179"/>
      <c r="G82" s="179"/>
      <c r="H82" s="4"/>
      <c r="I82" s="179" t="s">
        <v>0</v>
      </c>
      <c r="J82" s="179"/>
      <c r="K82" s="179"/>
      <c r="L82" s="3"/>
      <c r="M82" s="95"/>
    </row>
    <row r="83" spans="2:13" ht="10.5" customHeight="1" x14ac:dyDescent="0.3">
      <c r="B83" s="93"/>
      <c r="C83" s="6"/>
      <c r="D83" s="40"/>
      <c r="E83" s="179"/>
      <c r="F83" s="179"/>
      <c r="G83" s="179"/>
      <c r="H83" s="4"/>
      <c r="I83" s="179"/>
      <c r="J83" s="179"/>
      <c r="K83" s="179"/>
      <c r="L83" s="3"/>
      <c r="M83" s="95"/>
    </row>
    <row r="84" spans="2:13" ht="22.5" customHeight="1" x14ac:dyDescent="0.3">
      <c r="B84" s="93"/>
      <c r="C84" s="6"/>
      <c r="D84" s="40"/>
      <c r="E84" s="179"/>
      <c r="F84" s="179"/>
      <c r="G84" s="179"/>
      <c r="H84" s="4"/>
      <c r="I84" s="179"/>
      <c r="J84" s="179"/>
      <c r="K84" s="179"/>
      <c r="L84" s="3"/>
      <c r="M84" s="95"/>
    </row>
    <row r="85" spans="2:13" ht="8.25" customHeight="1" x14ac:dyDescent="0.3">
      <c r="B85" s="93"/>
      <c r="C85" s="6"/>
      <c r="D85" s="40"/>
      <c r="E85" s="179"/>
      <c r="F85" s="179"/>
      <c r="G85" s="179"/>
      <c r="H85" s="4"/>
      <c r="I85" s="179"/>
      <c r="J85" s="179"/>
      <c r="K85" s="179"/>
      <c r="L85" s="3"/>
      <c r="M85" s="95"/>
    </row>
    <row r="86" spans="2:13" ht="2.25" customHeight="1" x14ac:dyDescent="0.3">
      <c r="B86" s="93"/>
      <c r="C86" s="6"/>
      <c r="D86" s="40"/>
      <c r="E86" s="82"/>
      <c r="F86" s="82"/>
      <c r="G86" s="82"/>
      <c r="H86" s="4"/>
      <c r="I86" s="82"/>
      <c r="J86" s="82"/>
      <c r="K86" s="82"/>
      <c r="L86" s="3"/>
      <c r="M86" s="95"/>
    </row>
    <row r="87" spans="2:13" ht="12.9" customHeight="1" x14ac:dyDescent="0.3">
      <c r="B87" s="93"/>
      <c r="C87" s="6"/>
      <c r="D87" s="40"/>
      <c r="E87" s="177"/>
      <c r="F87" s="177"/>
      <c r="G87" s="177"/>
      <c r="H87" s="83"/>
      <c r="I87" s="177"/>
      <c r="J87" s="177"/>
      <c r="K87" s="177"/>
      <c r="L87" s="3"/>
      <c r="M87" s="95"/>
    </row>
    <row r="88" spans="2:13" ht="11.7" customHeight="1" x14ac:dyDescent="0.3">
      <c r="B88" s="93"/>
      <c r="C88" s="6"/>
      <c r="D88" s="3"/>
      <c r="E88" s="160" t="s">
        <v>247</v>
      </c>
      <c r="F88" s="160"/>
      <c r="G88" s="160"/>
      <c r="H88" s="83"/>
      <c r="I88" s="160" t="s">
        <v>204</v>
      </c>
      <c r="J88" s="160"/>
      <c r="K88" s="160"/>
      <c r="L88" s="3"/>
      <c r="M88" s="95"/>
    </row>
    <row r="89" spans="2:13" x14ac:dyDescent="0.3">
      <c r="B89" s="93"/>
      <c r="C89" s="6"/>
      <c r="D89" s="3"/>
      <c r="E89" s="4"/>
      <c r="F89" s="4"/>
      <c r="G89" s="3"/>
      <c r="H89" s="4"/>
      <c r="I89" s="4"/>
      <c r="J89" s="5"/>
      <c r="K89" s="3"/>
      <c r="L89" s="3"/>
      <c r="M89" s="95"/>
    </row>
    <row r="90" spans="2:13" x14ac:dyDescent="0.3">
      <c r="B90" s="97"/>
      <c r="C90" s="98"/>
      <c r="D90" s="99"/>
      <c r="E90" s="100"/>
      <c r="F90" s="100"/>
      <c r="G90" s="99"/>
      <c r="H90" s="100"/>
      <c r="I90" s="100"/>
      <c r="J90" s="101"/>
      <c r="K90" s="99"/>
      <c r="L90" s="99"/>
      <c r="M90" s="102"/>
    </row>
  </sheetData>
  <sheetProtection algorithmName="SHA-512" hashValue="OfZvld6thtWZJqxYy21T+dkEB+tj4gSsgs0DSI2NGVyHctxn0bMG8i469YMIp4jn2nhAzQtpVCCrZesEG32xUg==" saltValue="v7wUmPgf9zaFBDevFdAImw==" spinCount="100000" sheet="1" objects="1" scenarios="1" selectLockedCells="1"/>
  <protectedRanges>
    <protectedRange sqref="C80:C81 I87:I88 E87:E88" name="Editables"/>
  </protectedRanges>
  <autoFilter ref="C11:L74" xr:uid="{00000000-0009-0000-0000-000000000000}">
    <filterColumn colId="0" showButton="0"/>
    <filterColumn colId="2" showButton="0"/>
    <filterColumn colId="5" showButton="0"/>
  </autoFilter>
  <mergeCells count="152">
    <mergeCell ref="F9:G9"/>
    <mergeCell ref="E87:G87"/>
    <mergeCell ref="E88:G88"/>
    <mergeCell ref="E68:F68"/>
    <mergeCell ref="E69:F69"/>
    <mergeCell ref="E63:F63"/>
    <mergeCell ref="E64:F64"/>
    <mergeCell ref="E65:F65"/>
    <mergeCell ref="E66:F66"/>
    <mergeCell ref="E67:F67"/>
    <mergeCell ref="E82:G85"/>
    <mergeCell ref="E52:F52"/>
    <mergeCell ref="E58:F58"/>
    <mergeCell ref="E59:F59"/>
    <mergeCell ref="E60:F60"/>
    <mergeCell ref="E33:F33"/>
    <mergeCell ref="E34:F34"/>
    <mergeCell ref="E35:F35"/>
    <mergeCell ref="E36:F36"/>
    <mergeCell ref="E37:F37"/>
    <mergeCell ref="E48:F48"/>
    <mergeCell ref="E49:F49"/>
    <mergeCell ref="E50:F50"/>
    <mergeCell ref="E51:F51"/>
    <mergeCell ref="E43:F43"/>
    <mergeCell ref="E44:F44"/>
    <mergeCell ref="E45:F45"/>
    <mergeCell ref="E46:F46"/>
    <mergeCell ref="E47:F47"/>
    <mergeCell ref="E38:F38"/>
    <mergeCell ref="E39:F39"/>
    <mergeCell ref="E40:F40"/>
    <mergeCell ref="E41:F41"/>
    <mergeCell ref="E42:F42"/>
    <mergeCell ref="H60:I60"/>
    <mergeCell ref="H61:I61"/>
    <mergeCell ref="H62:I62"/>
    <mergeCell ref="H63:I63"/>
    <mergeCell ref="E61:F61"/>
    <mergeCell ref="E62:F62"/>
    <mergeCell ref="E53:F53"/>
    <mergeCell ref="E54:F54"/>
    <mergeCell ref="E55:F55"/>
    <mergeCell ref="E56:F56"/>
    <mergeCell ref="E57:F57"/>
    <mergeCell ref="H54:I54"/>
    <mergeCell ref="H53:I53"/>
    <mergeCell ref="H59:I59"/>
    <mergeCell ref="C11:D11"/>
    <mergeCell ref="D70:F74"/>
    <mergeCell ref="E11:F11"/>
    <mergeCell ref="E25:F25"/>
    <mergeCell ref="E26:F26"/>
    <mergeCell ref="E27:F27"/>
    <mergeCell ref="H70:I70"/>
    <mergeCell ref="E28:F28"/>
    <mergeCell ref="E29:F29"/>
    <mergeCell ref="E30:F30"/>
    <mergeCell ref="E31:F31"/>
    <mergeCell ref="E32:F32"/>
    <mergeCell ref="H20:I20"/>
    <mergeCell ref="H21:I21"/>
    <mergeCell ref="H22:I22"/>
    <mergeCell ref="H23:I23"/>
    <mergeCell ref="H24:I24"/>
    <mergeCell ref="H31:I31"/>
    <mergeCell ref="H32:I32"/>
    <mergeCell ref="H19:I19"/>
    <mergeCell ref="H12:I12"/>
    <mergeCell ref="H13:I13"/>
    <mergeCell ref="E12:F12"/>
    <mergeCell ref="E22:F22"/>
    <mergeCell ref="E23:F23"/>
    <mergeCell ref="I88:K88"/>
    <mergeCell ref="J76:L76"/>
    <mergeCell ref="J77:L77"/>
    <mergeCell ref="C76:I76"/>
    <mergeCell ref="C77:I77"/>
    <mergeCell ref="C79:L79"/>
    <mergeCell ref="C80:L80"/>
    <mergeCell ref="I87:K87"/>
    <mergeCell ref="C53:C65"/>
    <mergeCell ref="C66:C69"/>
    <mergeCell ref="C70:C74"/>
    <mergeCell ref="H69:I69"/>
    <mergeCell ref="I82:K85"/>
    <mergeCell ref="H55:I55"/>
    <mergeCell ref="H56:I56"/>
    <mergeCell ref="H57:I57"/>
    <mergeCell ref="H58:I58"/>
    <mergeCell ref="H64:I64"/>
    <mergeCell ref="H65:I65"/>
    <mergeCell ref="H66:I66"/>
    <mergeCell ref="H67:I67"/>
    <mergeCell ref="H68:I68"/>
    <mergeCell ref="H49:I49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H50:I50"/>
    <mergeCell ref="H51:I51"/>
    <mergeCell ref="H52:I52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2:C19"/>
    <mergeCell ref="C20:C42"/>
    <mergeCell ref="C43:C52"/>
    <mergeCell ref="H14:I14"/>
    <mergeCell ref="H15:I15"/>
    <mergeCell ref="E24:F24"/>
    <mergeCell ref="H46:I46"/>
    <mergeCell ref="H25:I25"/>
    <mergeCell ref="H47:I47"/>
    <mergeCell ref="H48:I48"/>
    <mergeCell ref="H11:I11"/>
    <mergeCell ref="H27:I27"/>
    <mergeCell ref="H28:I28"/>
    <mergeCell ref="H29:I29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H16:I16"/>
    <mergeCell ref="H17:I17"/>
    <mergeCell ref="H18:I18"/>
    <mergeCell ref="H30:I30"/>
    <mergeCell ref="H33:I33"/>
    <mergeCell ref="H34:I34"/>
    <mergeCell ref="H45:I45"/>
    <mergeCell ref="H26:I26"/>
  </mergeCells>
  <phoneticPr fontId="4" type="noConversion"/>
  <conditionalFormatting sqref="F9 I9">
    <cfRule type="cellIs" dxfId="7" priority="8" operator="equal">
      <formula>"-"</formula>
    </cfRule>
    <cfRule type="cellIs" dxfId="6" priority="9" operator="equal">
      <formula>"- "</formula>
    </cfRule>
  </conditionalFormatting>
  <conditionalFormatting sqref="K12:K74">
    <cfRule type="expression" dxfId="5" priority="6">
      <formula>AND(J12&lt;&gt;"",K12="",G12=0)</formula>
    </cfRule>
  </conditionalFormatting>
  <conditionalFormatting sqref="L12:L74">
    <cfRule type="expression" dxfId="4" priority="5">
      <formula>AND(K12&lt;6,L12="")</formula>
    </cfRule>
  </conditionalFormatting>
  <conditionalFormatting sqref="J77">
    <cfRule type="expression" dxfId="3" priority="4">
      <formula>J76&lt;&gt;121</formula>
    </cfRule>
  </conditionalFormatting>
  <conditionalFormatting sqref="H12:I69">
    <cfRule type="expression" dxfId="2" priority="3">
      <formula>AND(H12="",G12=0)</formula>
    </cfRule>
  </conditionalFormatting>
  <conditionalFormatting sqref="G11:G74">
    <cfRule type="cellIs" dxfId="1" priority="2" operator="equal">
      <formula>0</formula>
    </cfRule>
  </conditionalFormatting>
  <conditionalFormatting sqref="K2:K91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79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 I9" xr:uid="{00000000-0002-0000-0000-000005000000}"/>
  </dataValidations>
  <printOptions horizontalCentered="1"/>
  <pageMargins left="0.5" right="0.5" top="0.5" bottom="0.1" header="0.31496062992125984" footer="0.31496062992125984"/>
  <pageSetup paperSize="124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J76:L77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182"/>
  <sheetViews>
    <sheetView workbookViewId="0">
      <selection activeCell="A163" sqref="A163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J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F27" s="1"/>
      <c r="G27" s="1"/>
      <c r="I27" s="1"/>
      <c r="J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J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J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G39" s="1"/>
      <c r="K39" s="1"/>
      <c r="M39" s="1"/>
      <c r="N39" s="1"/>
      <c r="R39" s="1"/>
    </row>
    <row r="40" spans="5:21" x14ac:dyDescent="0.3">
      <c r="G40" s="1"/>
      <c r="K40" s="1"/>
      <c r="M40" s="1"/>
      <c r="N40" s="1"/>
      <c r="Q40" s="1"/>
      <c r="R40" s="1"/>
      <c r="U40" s="1"/>
    </row>
    <row r="41" spans="5:21" x14ac:dyDescent="0.3">
      <c r="G41" s="1"/>
      <c r="K41" s="1"/>
      <c r="M41" s="1"/>
      <c r="N41" s="1"/>
      <c r="R41" s="1"/>
    </row>
    <row r="42" spans="5:21" x14ac:dyDescent="0.3">
      <c r="G42" s="1"/>
      <c r="K42" s="1"/>
      <c r="M42" s="1"/>
      <c r="N42" s="1"/>
      <c r="R42" s="1"/>
    </row>
    <row r="43" spans="5:21" x14ac:dyDescent="0.3">
      <c r="E43" s="1"/>
      <c r="F43" s="1"/>
      <c r="G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J46" s="1"/>
      <c r="K46" s="1"/>
    </row>
    <row r="47" spans="5:21" x14ac:dyDescent="0.3">
      <c r="E47" s="1"/>
      <c r="F47" s="1"/>
      <c r="G47" s="1"/>
      <c r="I47" s="1"/>
      <c r="J47" s="1"/>
      <c r="K47" s="1"/>
      <c r="P47" s="1"/>
      <c r="T47" s="1"/>
    </row>
    <row r="48" spans="5:21" x14ac:dyDescent="0.3">
      <c r="E48" s="1"/>
      <c r="F48" s="1"/>
      <c r="G48" s="1"/>
      <c r="I48" s="1"/>
      <c r="K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K55" s="1"/>
      <c r="M55" s="1"/>
      <c r="N55" s="1"/>
      <c r="R55" s="1"/>
    </row>
    <row r="56" spans="5:20" x14ac:dyDescent="0.3">
      <c r="E56" s="1"/>
      <c r="F56" s="1"/>
      <c r="G56" s="1"/>
      <c r="H56" s="1"/>
      <c r="I56" s="1"/>
      <c r="K56" s="1"/>
      <c r="M56" s="1"/>
      <c r="N56" s="1"/>
      <c r="R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E59" s="1"/>
      <c r="G59" s="1"/>
      <c r="H59" s="1"/>
      <c r="I59" s="1"/>
      <c r="K59" s="1"/>
      <c r="M59" s="1"/>
      <c r="N59" s="1"/>
      <c r="R59" s="1"/>
    </row>
    <row r="60" spans="5:20" x14ac:dyDescent="0.3">
      <c r="E60" s="1"/>
      <c r="I60" s="1"/>
      <c r="K60" s="1"/>
      <c r="N60" s="1"/>
      <c r="R60" s="1"/>
    </row>
    <row r="61" spans="5:20" x14ac:dyDescent="0.3">
      <c r="E61" s="1"/>
      <c r="F61" s="1"/>
      <c r="G61" s="1"/>
      <c r="I61" s="1"/>
      <c r="K61" s="1"/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J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J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  <c r="N79" s="1"/>
      <c r="R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J81" s="1"/>
      <c r="K81" s="1"/>
    </row>
    <row r="82" spans="5:18" x14ac:dyDescent="0.3">
      <c r="E82" s="1"/>
      <c r="F82" s="1"/>
      <c r="G82" s="1"/>
      <c r="I82" s="1"/>
      <c r="J82" s="1"/>
      <c r="K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J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J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J96" s="1"/>
      <c r="K96" s="1"/>
    </row>
    <row r="97" spans="5:20" x14ac:dyDescent="0.3">
      <c r="E97" s="1"/>
      <c r="F97" s="1"/>
      <c r="G97" s="1"/>
      <c r="I97" s="1"/>
      <c r="J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J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J107" s="1"/>
      <c r="K107" s="1"/>
      <c r="M107" s="1"/>
      <c r="N107" s="1"/>
      <c r="R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J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J116" s="1"/>
      <c r="K116" s="1"/>
      <c r="N116" s="1"/>
      <c r="R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J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  <c r="N124" s="1"/>
      <c r="R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  <c r="N130" s="1"/>
      <c r="R130" s="1"/>
    </row>
    <row r="131" spans="5:20" x14ac:dyDescent="0.3">
      <c r="E131" s="1"/>
      <c r="F131" s="1"/>
      <c r="G131" s="1"/>
      <c r="I131" s="1"/>
      <c r="K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J133" s="1"/>
      <c r="K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J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J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  <c r="N145" s="1"/>
      <c r="R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J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J160" s="1"/>
      <c r="K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N162" s="1"/>
      <c r="R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</row>
    <row r="170" spans="5:18" x14ac:dyDescent="0.3">
      <c r="E170" s="1"/>
      <c r="F170" s="1"/>
      <c r="G170" s="1"/>
      <c r="I170" s="1"/>
      <c r="K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N178" s="1"/>
      <c r="R178" s="1"/>
    </row>
    <row r="179" spans="5:18" x14ac:dyDescent="0.3">
      <c r="N179" s="1"/>
      <c r="R179" s="1"/>
    </row>
    <row r="182" spans="5:18" x14ac:dyDescent="0.3">
      <c r="N182" s="1"/>
      <c r="R182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P79"/>
  <sheetViews>
    <sheetView showGridLines="0" showRowColHeaders="0" topLeftCell="D1" workbookViewId="0">
      <selection activeCell="O7" sqref="O7"/>
    </sheetView>
  </sheetViews>
  <sheetFormatPr baseColWidth="10" defaultColWidth="11.109375" defaultRowHeight="14.4" x14ac:dyDescent="0.3"/>
  <cols>
    <col min="1" max="1" width="2.33203125" style="20" customWidth="1"/>
    <col min="2" max="2" width="5" style="20" hidden="1" customWidth="1"/>
    <col min="3" max="3" width="6.109375" style="20" hidden="1" customWidth="1"/>
    <col min="4" max="4" width="7.88671875" style="20" customWidth="1"/>
    <col min="5" max="5" width="26.88671875" style="20" customWidth="1"/>
    <col min="6" max="6" width="6.88671875" style="21" customWidth="1"/>
    <col min="7" max="7" width="2.5546875" style="20" customWidth="1"/>
    <col min="8" max="8" width="6.109375" style="20" hidden="1" customWidth="1"/>
    <col min="9" max="9" width="7.88671875" style="20" customWidth="1"/>
    <col min="10" max="10" width="26.88671875" style="20" customWidth="1"/>
    <col min="11" max="11" width="6.88671875" style="20" customWidth="1"/>
    <col min="12" max="12" width="2.5546875" style="20" customWidth="1"/>
    <col min="13" max="13" width="6.109375" style="20" hidden="1" customWidth="1"/>
    <col min="14" max="14" width="8.109375" style="20" customWidth="1"/>
    <col min="15" max="15" width="26.88671875" style="20" customWidth="1"/>
    <col min="16" max="16" width="6.88671875" style="20" customWidth="1"/>
    <col min="17" max="17" width="1.44140625" style="20" customWidth="1"/>
    <col min="18" max="16384" width="11.109375" style="20"/>
  </cols>
  <sheetData>
    <row r="1" spans="2:16" ht="12.15" customHeight="1" thickBot="1" x14ac:dyDescent="0.35"/>
    <row r="2" spans="2:16" ht="15" thickBot="1" x14ac:dyDescent="0.35">
      <c r="B2" s="195" t="s">
        <v>143</v>
      </c>
      <c r="C2" s="12"/>
      <c r="D2" s="192" t="s">
        <v>144</v>
      </c>
      <c r="E2" s="193"/>
      <c r="F2" s="194"/>
      <c r="H2" s="12"/>
      <c r="I2" s="192" t="s">
        <v>145</v>
      </c>
      <c r="J2" s="193"/>
      <c r="K2" s="194"/>
      <c r="M2" s="7"/>
      <c r="N2" s="192" t="s">
        <v>146</v>
      </c>
      <c r="O2" s="193"/>
      <c r="P2" s="194"/>
    </row>
    <row r="3" spans="2:16" ht="15" thickBot="1" x14ac:dyDescent="0.35">
      <c r="B3" s="196"/>
      <c r="C3" s="19"/>
      <c r="D3" s="12" t="s">
        <v>147</v>
      </c>
      <c r="E3" s="8" t="s">
        <v>148</v>
      </c>
      <c r="F3" s="17" t="s">
        <v>149</v>
      </c>
      <c r="H3" s="19"/>
      <c r="I3" s="12" t="s">
        <v>147</v>
      </c>
      <c r="J3" s="8" t="s">
        <v>148</v>
      </c>
      <c r="K3" s="17" t="s">
        <v>149</v>
      </c>
      <c r="M3" s="16"/>
      <c r="N3" s="12" t="s">
        <v>147</v>
      </c>
      <c r="O3" s="8" t="s">
        <v>148</v>
      </c>
      <c r="P3" s="17" t="s">
        <v>149</v>
      </c>
    </row>
    <row r="4" spans="2:16" ht="15" customHeight="1" x14ac:dyDescent="0.3">
      <c r="B4" s="13">
        <v>1</v>
      </c>
      <c r="C4" s="9" t="str">
        <f>D2&amp;$B4</f>
        <v>SPO1</v>
      </c>
      <c r="D4" s="30" t="s">
        <v>210</v>
      </c>
      <c r="E4" s="31" t="s">
        <v>211</v>
      </c>
      <c r="F4" s="30">
        <v>2</v>
      </c>
      <c r="H4" s="13" t="str">
        <f>I$2&amp;$B4</f>
        <v>SPA1</v>
      </c>
      <c r="I4" s="108" t="s">
        <v>235</v>
      </c>
      <c r="J4" s="31" t="s">
        <v>236</v>
      </c>
      <c r="K4" s="30">
        <v>3</v>
      </c>
      <c r="M4" s="13" t="str">
        <f>N$2&amp;$B4</f>
        <v>SPE1</v>
      </c>
      <c r="N4" s="30" t="s">
        <v>238</v>
      </c>
      <c r="O4" s="31" t="s">
        <v>227</v>
      </c>
      <c r="P4" s="30">
        <v>4</v>
      </c>
    </row>
    <row r="5" spans="2:16" ht="15" customHeight="1" x14ac:dyDescent="0.3">
      <c r="B5" s="14">
        <v>2</v>
      </c>
      <c r="C5" s="10" t="str">
        <f t="shared" ref="C5:C13" si="0">D$2&amp;$B5</f>
        <v>SPO2</v>
      </c>
      <c r="D5" s="32" t="s">
        <v>212</v>
      </c>
      <c r="E5" s="33" t="s">
        <v>213</v>
      </c>
      <c r="F5" s="32">
        <v>3</v>
      </c>
      <c r="H5" s="14" t="str">
        <f t="shared" ref="H5:H13" si="1">I$2&amp;$B5</f>
        <v>SPA2</v>
      </c>
      <c r="I5" s="109" t="s">
        <v>220</v>
      </c>
      <c r="J5" s="33" t="s">
        <v>221</v>
      </c>
      <c r="K5" s="32">
        <v>2</v>
      </c>
      <c r="M5" s="14" t="str">
        <f t="shared" ref="M5:M13" si="2">N$2&amp;$B5</f>
        <v>SPE2</v>
      </c>
      <c r="N5" s="32" t="s">
        <v>205</v>
      </c>
      <c r="O5" s="33" t="s">
        <v>228</v>
      </c>
      <c r="P5" s="32">
        <v>4</v>
      </c>
    </row>
    <row r="6" spans="2:16" ht="15" customHeight="1" x14ac:dyDescent="0.3">
      <c r="B6" s="14">
        <v>3</v>
      </c>
      <c r="C6" s="10" t="str">
        <f t="shared" si="0"/>
        <v>SPO3</v>
      </c>
      <c r="D6" s="32" t="s">
        <v>214</v>
      </c>
      <c r="E6" s="33" t="s">
        <v>215</v>
      </c>
      <c r="F6" s="32">
        <v>2</v>
      </c>
      <c r="H6" s="14" t="str">
        <f t="shared" si="1"/>
        <v>SPA3</v>
      </c>
      <c r="I6" s="109" t="s">
        <v>237</v>
      </c>
      <c r="J6" s="33" t="s">
        <v>222</v>
      </c>
      <c r="K6" s="32">
        <v>2</v>
      </c>
      <c r="M6" s="14" t="str">
        <f t="shared" si="2"/>
        <v>SPE3</v>
      </c>
      <c r="N6" s="32" t="s">
        <v>206</v>
      </c>
      <c r="O6" s="33" t="s">
        <v>207</v>
      </c>
      <c r="P6" s="32">
        <v>3</v>
      </c>
    </row>
    <row r="7" spans="2:16" ht="15" customHeight="1" x14ac:dyDescent="0.3">
      <c r="B7" s="14">
        <v>4</v>
      </c>
      <c r="C7" s="10" t="str">
        <f t="shared" si="0"/>
        <v>SPO4</v>
      </c>
      <c r="D7" s="32" t="s">
        <v>216</v>
      </c>
      <c r="E7" s="33" t="s">
        <v>217</v>
      </c>
      <c r="F7" s="32">
        <v>2</v>
      </c>
      <c r="H7" s="14" t="str">
        <f t="shared" si="1"/>
        <v>SPA4</v>
      </c>
      <c r="I7" s="109" t="s">
        <v>223</v>
      </c>
      <c r="J7" s="33" t="s">
        <v>224</v>
      </c>
      <c r="K7" s="32">
        <v>2</v>
      </c>
      <c r="M7" s="14" t="str">
        <f t="shared" si="2"/>
        <v>SPE4</v>
      </c>
      <c r="N7" s="32"/>
      <c r="O7" s="33"/>
      <c r="P7" s="32"/>
    </row>
    <row r="8" spans="2:16" ht="15" customHeight="1" x14ac:dyDescent="0.3">
      <c r="B8" s="14">
        <v>5</v>
      </c>
      <c r="C8" s="10" t="str">
        <f t="shared" si="0"/>
        <v>SPO5</v>
      </c>
      <c r="D8" s="32" t="s">
        <v>218</v>
      </c>
      <c r="E8" s="33" t="s">
        <v>219</v>
      </c>
      <c r="F8" s="32">
        <v>2</v>
      </c>
      <c r="H8" s="14" t="str">
        <f t="shared" si="1"/>
        <v>SPA5</v>
      </c>
      <c r="I8" s="110" t="s">
        <v>225</v>
      </c>
      <c r="J8" s="33" t="s">
        <v>226</v>
      </c>
      <c r="K8" s="32">
        <v>2</v>
      </c>
      <c r="M8" s="14" t="str">
        <f t="shared" si="2"/>
        <v>SPE5</v>
      </c>
      <c r="N8" s="32"/>
      <c r="O8" s="33"/>
      <c r="P8" s="32"/>
    </row>
    <row r="9" spans="2:16" ht="15" customHeight="1" x14ac:dyDescent="0.3">
      <c r="B9" s="14">
        <v>6</v>
      </c>
      <c r="C9" s="10" t="str">
        <f t="shared" si="0"/>
        <v>SPO6</v>
      </c>
      <c r="D9" s="32"/>
      <c r="E9" s="33"/>
      <c r="F9" s="32"/>
      <c r="H9" s="14" t="str">
        <f t="shared" si="1"/>
        <v>SPA6</v>
      </c>
      <c r="I9" s="32"/>
      <c r="J9" s="33"/>
      <c r="K9" s="32"/>
      <c r="M9" s="14" t="str">
        <f t="shared" si="2"/>
        <v>SPE6</v>
      </c>
      <c r="N9" s="32"/>
      <c r="O9" s="33"/>
      <c r="P9" s="32"/>
    </row>
    <row r="10" spans="2:16" ht="15" customHeight="1" x14ac:dyDescent="0.3">
      <c r="B10" s="14">
        <v>7</v>
      </c>
      <c r="C10" s="10" t="str">
        <f t="shared" si="0"/>
        <v>SPO7</v>
      </c>
      <c r="D10" s="32"/>
      <c r="E10" s="33"/>
      <c r="F10" s="32"/>
      <c r="H10" s="14" t="str">
        <f t="shared" si="1"/>
        <v>SPA7</v>
      </c>
      <c r="I10" s="32"/>
      <c r="J10" s="33"/>
      <c r="K10" s="32"/>
      <c r="M10" s="14" t="str">
        <f t="shared" si="2"/>
        <v>SPE7</v>
      </c>
      <c r="N10" s="32"/>
      <c r="O10" s="33"/>
      <c r="P10" s="32"/>
    </row>
    <row r="11" spans="2:16" ht="15" customHeight="1" x14ac:dyDescent="0.3">
      <c r="B11" s="14">
        <v>8</v>
      </c>
      <c r="C11" s="10" t="str">
        <f t="shared" si="0"/>
        <v>SPO8</v>
      </c>
      <c r="D11" s="32"/>
      <c r="E11" s="33"/>
      <c r="F11" s="32"/>
      <c r="H11" s="14" t="str">
        <f t="shared" si="1"/>
        <v>SPA8</v>
      </c>
      <c r="I11" s="32"/>
      <c r="J11" s="33"/>
      <c r="K11" s="32"/>
      <c r="M11" s="14" t="str">
        <f t="shared" si="2"/>
        <v>SPE8</v>
      </c>
      <c r="N11" s="32"/>
      <c r="O11" s="33"/>
      <c r="P11" s="32"/>
    </row>
    <row r="12" spans="2:16" ht="15" customHeight="1" x14ac:dyDescent="0.3">
      <c r="B12" s="14">
        <v>9</v>
      </c>
      <c r="C12" s="10" t="str">
        <f t="shared" si="0"/>
        <v>SPO9</v>
      </c>
      <c r="D12" s="32"/>
      <c r="E12" s="33"/>
      <c r="F12" s="32"/>
      <c r="H12" s="14" t="str">
        <f t="shared" si="1"/>
        <v>SPA9</v>
      </c>
      <c r="I12" s="32"/>
      <c r="J12" s="33"/>
      <c r="K12" s="32"/>
      <c r="M12" s="14" t="str">
        <f t="shared" si="2"/>
        <v>SPE9</v>
      </c>
      <c r="N12" s="32"/>
      <c r="O12" s="33"/>
      <c r="P12" s="32"/>
    </row>
    <row r="13" spans="2:16" ht="15" customHeight="1" thickBot="1" x14ac:dyDescent="0.35">
      <c r="B13" s="15">
        <v>10</v>
      </c>
      <c r="C13" s="11" t="str">
        <f t="shared" si="0"/>
        <v>SPO10</v>
      </c>
      <c r="D13" s="34"/>
      <c r="E13" s="35"/>
      <c r="F13" s="34"/>
      <c r="H13" s="15" t="str">
        <f t="shared" si="1"/>
        <v>SPA10</v>
      </c>
      <c r="I13" s="34"/>
      <c r="J13" s="35"/>
      <c r="K13" s="34"/>
      <c r="M13" s="15" t="str">
        <f t="shared" si="2"/>
        <v>SPE10</v>
      </c>
      <c r="N13" s="34"/>
      <c r="O13" s="35"/>
      <c r="P13" s="34"/>
    </row>
    <row r="14" spans="2:16" ht="15" customHeight="1" thickBot="1" x14ac:dyDescent="0.35"/>
    <row r="15" spans="2:16" ht="15" customHeight="1" thickBot="1" x14ac:dyDescent="0.35">
      <c r="B15" s="18"/>
      <c r="C15" s="18"/>
      <c r="D15" s="192" t="s">
        <v>150</v>
      </c>
      <c r="E15" s="193"/>
      <c r="F15" s="194"/>
      <c r="H15" s="18"/>
      <c r="I15" s="192" t="s">
        <v>151</v>
      </c>
      <c r="J15" s="193"/>
      <c r="K15" s="194"/>
    </row>
    <row r="16" spans="2:16" ht="15" customHeight="1" thickBot="1" x14ac:dyDescent="0.35">
      <c r="B16" s="18"/>
      <c r="C16" s="18"/>
      <c r="D16" s="12" t="s">
        <v>147</v>
      </c>
      <c r="E16" s="8" t="s">
        <v>148</v>
      </c>
      <c r="F16" s="17" t="s">
        <v>149</v>
      </c>
      <c r="H16" s="18"/>
      <c r="I16" s="12" t="s">
        <v>147</v>
      </c>
      <c r="J16" s="8" t="s">
        <v>148</v>
      </c>
      <c r="K16" s="17" t="s">
        <v>149</v>
      </c>
    </row>
    <row r="17" spans="2:11" ht="15" customHeight="1" x14ac:dyDescent="0.3">
      <c r="B17" s="18"/>
      <c r="C17" s="9" t="str">
        <f>D$15&amp;$B4</f>
        <v>ING1</v>
      </c>
      <c r="D17" s="30" t="s">
        <v>209</v>
      </c>
      <c r="E17" s="31" t="s">
        <v>229</v>
      </c>
      <c r="F17" s="30">
        <v>4</v>
      </c>
      <c r="H17" s="9" t="str">
        <f>I$15&amp;$B4</f>
        <v>LA 1</v>
      </c>
      <c r="I17" s="30" t="s">
        <v>245</v>
      </c>
      <c r="J17" s="31" t="s">
        <v>232</v>
      </c>
      <c r="K17" s="30">
        <v>2</v>
      </c>
    </row>
    <row r="18" spans="2:11" ht="15" customHeight="1" x14ac:dyDescent="0.3">
      <c r="B18" s="18"/>
      <c r="C18" s="10" t="str">
        <f t="shared" ref="C18:C26" si="3">D$15&amp;$B5</f>
        <v>ING2</v>
      </c>
      <c r="D18" s="32" t="s">
        <v>244</v>
      </c>
      <c r="E18" s="33" t="s">
        <v>230</v>
      </c>
      <c r="F18" s="32">
        <v>4</v>
      </c>
      <c r="H18" s="10" t="str">
        <f t="shared" ref="H18:H26" si="4">I$15&amp;$B5</f>
        <v>LA 2</v>
      </c>
      <c r="I18" s="32" t="s">
        <v>233</v>
      </c>
      <c r="J18" s="33" t="s">
        <v>234</v>
      </c>
      <c r="K18" s="32">
        <v>3</v>
      </c>
    </row>
    <row r="19" spans="2:11" ht="15" customHeight="1" x14ac:dyDescent="0.3">
      <c r="B19" s="18"/>
      <c r="C19" s="10" t="str">
        <f t="shared" si="3"/>
        <v>ING3</v>
      </c>
      <c r="D19" s="32" t="s">
        <v>208</v>
      </c>
      <c r="E19" s="33" t="s">
        <v>231</v>
      </c>
      <c r="F19" s="32">
        <v>3</v>
      </c>
      <c r="H19" s="10" t="str">
        <f t="shared" si="4"/>
        <v>LA 3</v>
      </c>
      <c r="I19" s="32" t="s">
        <v>239</v>
      </c>
      <c r="J19" s="33" t="s">
        <v>241</v>
      </c>
      <c r="K19" s="32">
        <v>3</v>
      </c>
    </row>
    <row r="20" spans="2:11" ht="15" customHeight="1" x14ac:dyDescent="0.3">
      <c r="B20" s="18"/>
      <c r="C20" s="10" t="str">
        <f t="shared" si="3"/>
        <v>ING4</v>
      </c>
      <c r="D20" s="32"/>
      <c r="E20" s="33"/>
      <c r="F20" s="32"/>
      <c r="H20" s="10" t="str">
        <f t="shared" si="4"/>
        <v>LA 4</v>
      </c>
      <c r="I20" s="32" t="s">
        <v>240</v>
      </c>
      <c r="J20" s="33" t="s">
        <v>242</v>
      </c>
      <c r="K20" s="32">
        <v>3</v>
      </c>
    </row>
    <row r="21" spans="2:11" ht="15" customHeight="1" x14ac:dyDescent="0.3">
      <c r="B21" s="18"/>
      <c r="C21" s="10" t="str">
        <f t="shared" si="3"/>
        <v>ING5</v>
      </c>
      <c r="D21" s="32"/>
      <c r="E21" s="33"/>
      <c r="F21" s="32"/>
      <c r="H21" s="10" t="str">
        <f t="shared" si="4"/>
        <v>LA 5</v>
      </c>
      <c r="I21" s="32"/>
      <c r="J21" s="33"/>
      <c r="K21" s="32"/>
    </row>
    <row r="22" spans="2:11" ht="15" customHeight="1" x14ac:dyDescent="0.3">
      <c r="B22" s="18"/>
      <c r="C22" s="10" t="str">
        <f t="shared" si="3"/>
        <v>ING6</v>
      </c>
      <c r="D22" s="32"/>
      <c r="E22" s="33"/>
      <c r="F22" s="32"/>
      <c r="H22" s="10" t="str">
        <f t="shared" si="4"/>
        <v>LA 6</v>
      </c>
      <c r="I22" s="32"/>
      <c r="J22" s="33"/>
      <c r="K22" s="32"/>
    </row>
    <row r="23" spans="2:11" ht="15" customHeight="1" x14ac:dyDescent="0.3">
      <c r="B23" s="18"/>
      <c r="C23" s="10" t="str">
        <f t="shared" si="3"/>
        <v>ING7</v>
      </c>
      <c r="D23" s="32"/>
      <c r="E23" s="33"/>
      <c r="F23" s="32"/>
      <c r="H23" s="10" t="str">
        <f t="shared" si="4"/>
        <v>LA 7</v>
      </c>
      <c r="I23" s="32"/>
      <c r="J23" s="33"/>
      <c r="K23" s="32"/>
    </row>
    <row r="24" spans="2:11" ht="15" customHeight="1" x14ac:dyDescent="0.3">
      <c r="B24" s="18"/>
      <c r="C24" s="10" t="str">
        <f t="shared" si="3"/>
        <v>ING8</v>
      </c>
      <c r="D24" s="32"/>
      <c r="E24" s="33"/>
      <c r="F24" s="32"/>
      <c r="H24" s="10" t="str">
        <f t="shared" si="4"/>
        <v>LA 8</v>
      </c>
      <c r="I24" s="32"/>
      <c r="J24" s="33"/>
      <c r="K24" s="32"/>
    </row>
    <row r="25" spans="2:11" ht="15" customHeight="1" x14ac:dyDescent="0.3">
      <c r="B25" s="18"/>
      <c r="C25" s="10" t="str">
        <f t="shared" si="3"/>
        <v>ING9</v>
      </c>
      <c r="D25" s="32"/>
      <c r="E25" s="33"/>
      <c r="F25" s="32"/>
      <c r="H25" s="10" t="str">
        <f t="shared" si="4"/>
        <v>LA 9</v>
      </c>
      <c r="I25" s="32"/>
      <c r="J25" s="33"/>
      <c r="K25" s="32"/>
    </row>
    <row r="26" spans="2:11" ht="15" customHeight="1" thickBot="1" x14ac:dyDescent="0.35">
      <c r="B26" s="18"/>
      <c r="C26" s="11" t="str">
        <f t="shared" si="3"/>
        <v>ING10</v>
      </c>
      <c r="D26" s="34"/>
      <c r="E26" s="35"/>
      <c r="F26" s="34"/>
      <c r="H26" s="11" t="str">
        <f t="shared" si="4"/>
        <v>LA 10</v>
      </c>
      <c r="I26" s="34"/>
      <c r="J26" s="35"/>
      <c r="K26" s="34"/>
    </row>
    <row r="27" spans="2:11" ht="15" customHeight="1" x14ac:dyDescent="0.3"/>
    <row r="29" spans="2:11" hidden="1" x14ac:dyDescent="0.3">
      <c r="B29" s="22">
        <v>1</v>
      </c>
      <c r="C29" s="23" t="str">
        <f>C4</f>
        <v>SPO1</v>
      </c>
      <c r="D29" s="23" t="str">
        <f>D4</f>
        <v>OF500</v>
      </c>
      <c r="E29" s="23" t="str">
        <f>E4</f>
        <v>Meteorología Marina</v>
      </c>
      <c r="F29" s="24">
        <f>F4</f>
        <v>2</v>
      </c>
    </row>
    <row r="30" spans="2:11" hidden="1" x14ac:dyDescent="0.3">
      <c r="B30" s="25">
        <v>2</v>
      </c>
      <c r="C30" s="20" t="str">
        <f t="shared" ref="C30:D30" si="5">C5</f>
        <v>SPO2</v>
      </c>
      <c r="D30" s="20" t="str">
        <f t="shared" si="5"/>
        <v>OF123</v>
      </c>
      <c r="E30" s="20" t="str">
        <f t="shared" ref="E30" si="6">E5</f>
        <v>Oceanografía Biológica</v>
      </c>
      <c r="F30" s="26">
        <f t="shared" ref="F30" si="7">F5</f>
        <v>3</v>
      </c>
    </row>
    <row r="31" spans="2:11" hidden="1" x14ac:dyDescent="0.3">
      <c r="B31" s="25">
        <v>3</v>
      </c>
      <c r="C31" s="20" t="str">
        <f t="shared" ref="C31:D31" si="8">C6</f>
        <v>SPO3</v>
      </c>
      <c r="D31" s="20" t="str">
        <f t="shared" si="8"/>
        <v>OF300</v>
      </c>
      <c r="E31" s="20" t="str">
        <f t="shared" ref="E31" si="9">E6</f>
        <v>Hidrografía</v>
      </c>
      <c r="F31" s="26">
        <f t="shared" ref="F31" si="10">F6</f>
        <v>2</v>
      </c>
    </row>
    <row r="32" spans="2:11" hidden="1" x14ac:dyDescent="0.3">
      <c r="B32" s="25">
        <v>4</v>
      </c>
      <c r="C32" s="20" t="str">
        <f t="shared" ref="C32:D32" si="11">C7</f>
        <v>SPO4</v>
      </c>
      <c r="D32" s="20" t="str">
        <f t="shared" si="11"/>
        <v>CS110</v>
      </c>
      <c r="E32" s="20" t="str">
        <f t="shared" ref="E32" si="12">E7</f>
        <v>Legislación Ambiental Marina</v>
      </c>
      <c r="F32" s="26">
        <f t="shared" ref="F32" si="13">F7</f>
        <v>2</v>
      </c>
    </row>
    <row r="33" spans="2:6" hidden="1" x14ac:dyDescent="0.3">
      <c r="B33" s="25">
        <v>5</v>
      </c>
      <c r="C33" s="20" t="str">
        <f t="shared" ref="C33:D33" si="14">C8</f>
        <v>SPO5</v>
      </c>
      <c r="D33" s="20" t="str">
        <f t="shared" si="14"/>
        <v>OF200</v>
      </c>
      <c r="E33" s="20" t="str">
        <f t="shared" ref="E33" si="15">E8</f>
        <v>Instrumentación Oceanográfica</v>
      </c>
      <c r="F33" s="26">
        <f t="shared" ref="F33" si="16">F8</f>
        <v>2</v>
      </c>
    </row>
    <row r="34" spans="2:6" hidden="1" x14ac:dyDescent="0.3">
      <c r="B34" s="25">
        <v>6</v>
      </c>
      <c r="C34" s="20" t="str">
        <f t="shared" ref="C34:D34" si="17">C9</f>
        <v>SPO6</v>
      </c>
      <c r="D34" s="20">
        <f t="shared" si="17"/>
        <v>0</v>
      </c>
      <c r="E34" s="20">
        <f t="shared" ref="E34" si="18">E9</f>
        <v>0</v>
      </c>
      <c r="F34" s="26">
        <f t="shared" ref="F34" si="19">F9</f>
        <v>0</v>
      </c>
    </row>
    <row r="35" spans="2:6" hidden="1" x14ac:dyDescent="0.3">
      <c r="B35" s="25">
        <v>7</v>
      </c>
      <c r="C35" s="20" t="str">
        <f t="shared" ref="C35:D35" si="20">C10</f>
        <v>SPO7</v>
      </c>
      <c r="D35" s="20">
        <f t="shared" si="20"/>
        <v>0</v>
      </c>
      <c r="E35" s="20">
        <f t="shared" ref="E35" si="21">E10</f>
        <v>0</v>
      </c>
      <c r="F35" s="26">
        <f t="shared" ref="F35" si="22">F10</f>
        <v>0</v>
      </c>
    </row>
    <row r="36" spans="2:6" hidden="1" x14ac:dyDescent="0.3">
      <c r="B36" s="25">
        <v>8</v>
      </c>
      <c r="C36" s="20" t="str">
        <f t="shared" ref="C36:D36" si="23">C11</f>
        <v>SPO8</v>
      </c>
      <c r="D36" s="20">
        <f t="shared" si="23"/>
        <v>0</v>
      </c>
      <c r="E36" s="20">
        <f t="shared" ref="E36" si="24">E11</f>
        <v>0</v>
      </c>
      <c r="F36" s="26">
        <f t="shared" ref="F36" si="25">F11</f>
        <v>0</v>
      </c>
    </row>
    <row r="37" spans="2:6" hidden="1" x14ac:dyDescent="0.3">
      <c r="B37" s="25">
        <v>9</v>
      </c>
      <c r="C37" s="20" t="str">
        <f t="shared" ref="C37:D37" si="26">C12</f>
        <v>SPO9</v>
      </c>
      <c r="D37" s="20">
        <f t="shared" si="26"/>
        <v>0</v>
      </c>
      <c r="E37" s="20">
        <f t="shared" ref="E37" si="27">E12</f>
        <v>0</v>
      </c>
      <c r="F37" s="26">
        <f t="shared" ref="F37" si="28">F12</f>
        <v>0</v>
      </c>
    </row>
    <row r="38" spans="2:6" hidden="1" x14ac:dyDescent="0.3">
      <c r="B38" s="25">
        <v>10</v>
      </c>
      <c r="C38" s="20" t="str">
        <f t="shared" ref="C38:D38" si="29">C13</f>
        <v>SPO10</v>
      </c>
      <c r="D38" s="20">
        <f t="shared" si="29"/>
        <v>0</v>
      </c>
      <c r="E38" s="20">
        <f t="shared" ref="E38" si="30">E13</f>
        <v>0</v>
      </c>
      <c r="F38" s="26">
        <f t="shared" ref="F38" si="31">F13</f>
        <v>0</v>
      </c>
    </row>
    <row r="39" spans="2:6" hidden="1" x14ac:dyDescent="0.3">
      <c r="B39" s="25">
        <v>11</v>
      </c>
      <c r="C39" s="20" t="str">
        <f>H4</f>
        <v>SPA1</v>
      </c>
      <c r="D39" s="20" t="str">
        <f>I4</f>
        <v>AM102</v>
      </c>
      <c r="E39" s="20" t="str">
        <f>J4</f>
        <v>Microeconomía</v>
      </c>
      <c r="F39" s="26">
        <f>K4</f>
        <v>3</v>
      </c>
    </row>
    <row r="40" spans="2:6" hidden="1" x14ac:dyDescent="0.3">
      <c r="B40" s="25">
        <v>12</v>
      </c>
      <c r="C40" s="20" t="str">
        <f t="shared" ref="C40:C48" si="32">H5</f>
        <v>SPA2</v>
      </c>
      <c r="D40" s="20" t="str">
        <f t="shared" ref="D40:F48" si="33">I5</f>
        <v>OF314</v>
      </c>
      <c r="E40" s="20" t="str">
        <f t="shared" si="33"/>
        <v>Gestión Ambiental</v>
      </c>
      <c r="F40" s="26">
        <f t="shared" si="33"/>
        <v>2</v>
      </c>
    </row>
    <row r="41" spans="2:6" hidden="1" x14ac:dyDescent="0.3">
      <c r="B41" s="25">
        <v>13</v>
      </c>
      <c r="C41" s="20" t="str">
        <f t="shared" si="32"/>
        <v>SPA3</v>
      </c>
      <c r="D41" s="20" t="str">
        <f t="shared" si="33"/>
        <v>CS145</v>
      </c>
      <c r="E41" s="20" t="str">
        <f t="shared" si="33"/>
        <v>Procesos Judiciales y Disciplinarios</v>
      </c>
      <c r="F41" s="26">
        <f t="shared" si="33"/>
        <v>2</v>
      </c>
    </row>
    <row r="42" spans="2:6" hidden="1" x14ac:dyDescent="0.3">
      <c r="B42" s="25">
        <v>14</v>
      </c>
      <c r="C42" s="20" t="str">
        <f t="shared" si="32"/>
        <v>SPA4</v>
      </c>
      <c r="D42" s="20" t="str">
        <f t="shared" si="33"/>
        <v>AM217</v>
      </c>
      <c r="E42" s="20" t="str">
        <f t="shared" si="33"/>
        <v>Sistemas Integrados de Gestión</v>
      </c>
      <c r="F42" s="26">
        <f t="shared" si="33"/>
        <v>2</v>
      </c>
    </row>
    <row r="43" spans="2:6" hidden="1" x14ac:dyDescent="0.3">
      <c r="B43" s="25">
        <v>15</v>
      </c>
      <c r="C43" s="20" t="str">
        <f t="shared" si="32"/>
        <v>SPA5</v>
      </c>
      <c r="D43" s="20" t="str">
        <f t="shared" si="33"/>
        <v>AM101</v>
      </c>
      <c r="E43" s="20" t="str">
        <f t="shared" si="33"/>
        <v>Economía I Principios</v>
      </c>
      <c r="F43" s="26">
        <f t="shared" si="33"/>
        <v>2</v>
      </c>
    </row>
    <row r="44" spans="2:6" hidden="1" x14ac:dyDescent="0.3">
      <c r="B44" s="25">
        <v>16</v>
      </c>
      <c r="C44" s="20" t="str">
        <f t="shared" si="32"/>
        <v>SPA6</v>
      </c>
      <c r="D44" s="20">
        <f t="shared" si="33"/>
        <v>0</v>
      </c>
      <c r="E44" s="20">
        <f t="shared" si="33"/>
        <v>0</v>
      </c>
      <c r="F44" s="26">
        <f t="shared" si="33"/>
        <v>0</v>
      </c>
    </row>
    <row r="45" spans="2:6" hidden="1" x14ac:dyDescent="0.3">
      <c r="B45" s="25">
        <v>17</v>
      </c>
      <c r="C45" s="20" t="str">
        <f t="shared" si="32"/>
        <v>SPA7</v>
      </c>
      <c r="D45" s="20">
        <f t="shared" si="33"/>
        <v>0</v>
      </c>
      <c r="E45" s="20">
        <f t="shared" si="33"/>
        <v>0</v>
      </c>
      <c r="F45" s="26">
        <f t="shared" si="33"/>
        <v>0</v>
      </c>
    </row>
    <row r="46" spans="2:6" hidden="1" x14ac:dyDescent="0.3">
      <c r="B46" s="25">
        <v>18</v>
      </c>
      <c r="C46" s="20" t="str">
        <f t="shared" si="32"/>
        <v>SPA8</v>
      </c>
      <c r="D46" s="20">
        <f t="shared" si="33"/>
        <v>0</v>
      </c>
      <c r="E46" s="20">
        <f t="shared" si="33"/>
        <v>0</v>
      </c>
      <c r="F46" s="26">
        <f t="shared" si="33"/>
        <v>0</v>
      </c>
    </row>
    <row r="47" spans="2:6" hidden="1" x14ac:dyDescent="0.3">
      <c r="B47" s="25">
        <v>19</v>
      </c>
      <c r="C47" s="20" t="str">
        <f t="shared" si="32"/>
        <v>SPA9</v>
      </c>
      <c r="D47" s="20">
        <f t="shared" si="33"/>
        <v>0</v>
      </c>
      <c r="E47" s="20">
        <f t="shared" si="33"/>
        <v>0</v>
      </c>
      <c r="F47" s="26">
        <f t="shared" si="33"/>
        <v>0</v>
      </c>
    </row>
    <row r="48" spans="2:6" hidden="1" x14ac:dyDescent="0.3">
      <c r="B48" s="25">
        <v>20</v>
      </c>
      <c r="C48" s="20" t="str">
        <f t="shared" si="32"/>
        <v>SPA10</v>
      </c>
      <c r="D48" s="20">
        <f t="shared" si="33"/>
        <v>0</v>
      </c>
      <c r="E48" s="20">
        <f t="shared" si="33"/>
        <v>0</v>
      </c>
      <c r="F48" s="26">
        <f t="shared" si="33"/>
        <v>0</v>
      </c>
    </row>
    <row r="49" spans="2:6" hidden="1" x14ac:dyDescent="0.3">
      <c r="B49" s="25">
        <v>21</v>
      </c>
      <c r="C49" s="20" t="str">
        <f>M4</f>
        <v>SPE1</v>
      </c>
      <c r="D49" s="20" t="str">
        <f>N4</f>
        <v>IN125</v>
      </c>
      <c r="E49" s="20" t="str">
        <f>O4</f>
        <v>Electricidad I Circuitos de Corriente Directa y Laboratorio</v>
      </c>
      <c r="F49" s="26">
        <f>P4</f>
        <v>4</v>
      </c>
    </row>
    <row r="50" spans="2:6" hidden="1" x14ac:dyDescent="0.3">
      <c r="B50" s="25">
        <v>22</v>
      </c>
      <c r="C50" s="20" t="str">
        <f t="shared" ref="C50:C58" si="34">M5</f>
        <v>SPE2</v>
      </c>
      <c r="D50" s="20" t="str">
        <f t="shared" ref="D50:F58" si="35">N5</f>
        <v>IN126</v>
      </c>
      <c r="E50" s="20" t="str">
        <f t="shared" si="35"/>
        <v>Electricidad II Circuitos de Corriente Alterna y Laboratorio</v>
      </c>
      <c r="F50" s="26">
        <f t="shared" si="35"/>
        <v>4</v>
      </c>
    </row>
    <row r="51" spans="2:6" hidden="1" x14ac:dyDescent="0.3">
      <c r="B51" s="25">
        <v>23</v>
      </c>
      <c r="C51" s="20" t="str">
        <f t="shared" si="34"/>
        <v>SPE3</v>
      </c>
      <c r="D51" s="20" t="str">
        <f t="shared" si="35"/>
        <v>IN449</v>
      </c>
      <c r="E51" s="20" t="str">
        <f t="shared" si="35"/>
        <v>Introducción a la Electrónica</v>
      </c>
      <c r="F51" s="26">
        <f t="shared" si="35"/>
        <v>3</v>
      </c>
    </row>
    <row r="52" spans="2:6" hidden="1" x14ac:dyDescent="0.3">
      <c r="B52" s="25">
        <v>24</v>
      </c>
      <c r="C52" s="20" t="str">
        <f t="shared" si="34"/>
        <v>SPE4</v>
      </c>
      <c r="D52" s="20">
        <f t="shared" si="35"/>
        <v>0</v>
      </c>
      <c r="E52" s="20">
        <f t="shared" si="35"/>
        <v>0</v>
      </c>
      <c r="F52" s="26">
        <f t="shared" si="35"/>
        <v>0</v>
      </c>
    </row>
    <row r="53" spans="2:6" hidden="1" x14ac:dyDescent="0.3">
      <c r="B53" s="25">
        <v>25</v>
      </c>
      <c r="C53" s="20" t="str">
        <f t="shared" si="34"/>
        <v>SPE5</v>
      </c>
      <c r="D53" s="20">
        <f t="shared" si="35"/>
        <v>0</v>
      </c>
      <c r="E53" s="20">
        <f t="shared" si="35"/>
        <v>0</v>
      </c>
      <c r="F53" s="26">
        <f t="shared" si="35"/>
        <v>0</v>
      </c>
    </row>
    <row r="54" spans="2:6" hidden="1" x14ac:dyDescent="0.3">
      <c r="B54" s="25">
        <v>26</v>
      </c>
      <c r="C54" s="20" t="str">
        <f t="shared" si="34"/>
        <v>SPE6</v>
      </c>
      <c r="D54" s="20">
        <f t="shared" si="35"/>
        <v>0</v>
      </c>
      <c r="E54" s="20">
        <f t="shared" si="35"/>
        <v>0</v>
      </c>
      <c r="F54" s="26">
        <f t="shared" si="35"/>
        <v>0</v>
      </c>
    </row>
    <row r="55" spans="2:6" hidden="1" x14ac:dyDescent="0.3">
      <c r="B55" s="25">
        <v>27</v>
      </c>
      <c r="C55" s="20" t="str">
        <f t="shared" si="34"/>
        <v>SPE7</v>
      </c>
      <c r="D55" s="20">
        <f t="shared" si="35"/>
        <v>0</v>
      </c>
      <c r="E55" s="20">
        <f t="shared" si="35"/>
        <v>0</v>
      </c>
      <c r="F55" s="26">
        <f t="shared" si="35"/>
        <v>0</v>
      </c>
    </row>
    <row r="56" spans="2:6" hidden="1" x14ac:dyDescent="0.3">
      <c r="B56" s="25">
        <v>28</v>
      </c>
      <c r="C56" s="20" t="str">
        <f t="shared" si="34"/>
        <v>SPE8</v>
      </c>
      <c r="D56" s="20">
        <f t="shared" si="35"/>
        <v>0</v>
      </c>
      <c r="E56" s="20">
        <f t="shared" si="35"/>
        <v>0</v>
      </c>
      <c r="F56" s="26">
        <f t="shared" si="35"/>
        <v>0</v>
      </c>
    </row>
    <row r="57" spans="2:6" hidden="1" x14ac:dyDescent="0.3">
      <c r="B57" s="25">
        <v>29</v>
      </c>
      <c r="C57" s="20" t="str">
        <f t="shared" si="34"/>
        <v>SPE9</v>
      </c>
      <c r="D57" s="20">
        <f t="shared" si="35"/>
        <v>0</v>
      </c>
      <c r="E57" s="20">
        <f t="shared" si="35"/>
        <v>0</v>
      </c>
      <c r="F57" s="26">
        <f t="shared" si="35"/>
        <v>0</v>
      </c>
    </row>
    <row r="58" spans="2:6" hidden="1" x14ac:dyDescent="0.3">
      <c r="B58" s="25">
        <v>30</v>
      </c>
      <c r="C58" s="20" t="str">
        <f t="shared" si="34"/>
        <v>SPE10</v>
      </c>
      <c r="D58" s="20">
        <f t="shared" si="35"/>
        <v>0</v>
      </c>
      <c r="E58" s="20">
        <f t="shared" si="35"/>
        <v>0</v>
      </c>
      <c r="F58" s="26">
        <f t="shared" si="35"/>
        <v>0</v>
      </c>
    </row>
    <row r="59" spans="2:6" hidden="1" x14ac:dyDescent="0.3">
      <c r="B59" s="25">
        <v>31</v>
      </c>
      <c r="C59" s="20" t="str">
        <f>C17</f>
        <v>ING1</v>
      </c>
      <c r="D59" s="20" t="str">
        <f t="shared" ref="D59:F59" si="36">D17</f>
        <v>IN600</v>
      </c>
      <c r="E59" s="20" t="str">
        <f t="shared" si="36"/>
        <v>Estática</v>
      </c>
      <c r="F59" s="26">
        <f t="shared" si="36"/>
        <v>4</v>
      </c>
    </row>
    <row r="60" spans="2:6" hidden="1" x14ac:dyDescent="0.3">
      <c r="B60" s="25">
        <v>32</v>
      </c>
      <c r="C60" s="20" t="str">
        <f t="shared" ref="C60:C68" si="37">C18</f>
        <v>ING2</v>
      </c>
      <c r="D60" s="20" t="str">
        <f t="shared" ref="D60:F60" si="38">D18</f>
        <v>CB213</v>
      </c>
      <c r="E60" s="20" t="str">
        <f t="shared" si="38"/>
        <v>Física Eléctrica</v>
      </c>
      <c r="F60" s="26">
        <f t="shared" si="38"/>
        <v>4</v>
      </c>
    </row>
    <row r="61" spans="2:6" hidden="1" x14ac:dyDescent="0.3">
      <c r="B61" s="25">
        <v>33</v>
      </c>
      <c r="C61" s="20" t="str">
        <f t="shared" si="37"/>
        <v>ING3</v>
      </c>
      <c r="D61" s="20" t="str">
        <f t="shared" ref="D61:F61" si="39">D19</f>
        <v>IN611</v>
      </c>
      <c r="E61" s="20" t="str">
        <f t="shared" si="39"/>
        <v>Principios de Mantenimiento</v>
      </c>
      <c r="F61" s="26">
        <f t="shared" si="39"/>
        <v>3</v>
      </c>
    </row>
    <row r="62" spans="2:6" hidden="1" x14ac:dyDescent="0.3">
      <c r="B62" s="25">
        <v>34</v>
      </c>
      <c r="C62" s="20" t="str">
        <f t="shared" si="37"/>
        <v>ING4</v>
      </c>
      <c r="D62" s="20">
        <f t="shared" ref="D62:F62" si="40">D20</f>
        <v>0</v>
      </c>
      <c r="E62" s="20">
        <f t="shared" si="40"/>
        <v>0</v>
      </c>
      <c r="F62" s="26">
        <f t="shared" si="40"/>
        <v>0</v>
      </c>
    </row>
    <row r="63" spans="2:6" hidden="1" x14ac:dyDescent="0.3">
      <c r="B63" s="25">
        <v>35</v>
      </c>
      <c r="C63" s="20" t="str">
        <f t="shared" si="37"/>
        <v>ING5</v>
      </c>
      <c r="D63" s="20">
        <f t="shared" ref="D63:F63" si="41">D21</f>
        <v>0</v>
      </c>
      <c r="E63" s="20">
        <f t="shared" si="41"/>
        <v>0</v>
      </c>
      <c r="F63" s="26">
        <f t="shared" si="41"/>
        <v>0</v>
      </c>
    </row>
    <row r="64" spans="2:6" hidden="1" x14ac:dyDescent="0.3">
      <c r="B64" s="25">
        <v>36</v>
      </c>
      <c r="C64" s="20" t="str">
        <f t="shared" si="37"/>
        <v>ING6</v>
      </c>
      <c r="D64" s="20">
        <f t="shared" ref="D64:F64" si="42">D22</f>
        <v>0</v>
      </c>
      <c r="E64" s="20">
        <f t="shared" si="42"/>
        <v>0</v>
      </c>
      <c r="F64" s="26">
        <f t="shared" si="42"/>
        <v>0</v>
      </c>
    </row>
    <row r="65" spans="2:6" hidden="1" x14ac:dyDescent="0.3">
      <c r="B65" s="25">
        <v>37</v>
      </c>
      <c r="C65" s="20" t="str">
        <f t="shared" si="37"/>
        <v>ING7</v>
      </c>
      <c r="D65" s="20">
        <f t="shared" ref="D65:F65" si="43">D23</f>
        <v>0</v>
      </c>
      <c r="E65" s="20">
        <f t="shared" si="43"/>
        <v>0</v>
      </c>
      <c r="F65" s="26">
        <f t="shared" si="43"/>
        <v>0</v>
      </c>
    </row>
    <row r="66" spans="2:6" hidden="1" x14ac:dyDescent="0.3">
      <c r="B66" s="25">
        <v>38</v>
      </c>
      <c r="C66" s="20" t="str">
        <f t="shared" si="37"/>
        <v>ING8</v>
      </c>
      <c r="D66" s="20">
        <f t="shared" ref="D66:F66" si="44">D24</f>
        <v>0</v>
      </c>
      <c r="E66" s="20">
        <f t="shared" si="44"/>
        <v>0</v>
      </c>
      <c r="F66" s="26">
        <f t="shared" si="44"/>
        <v>0</v>
      </c>
    </row>
    <row r="67" spans="2:6" hidden="1" x14ac:dyDescent="0.3">
      <c r="B67" s="25">
        <v>39</v>
      </c>
      <c r="C67" s="20" t="str">
        <f t="shared" si="37"/>
        <v>ING9</v>
      </c>
      <c r="D67" s="20">
        <f t="shared" ref="D67:F67" si="45">D25</f>
        <v>0</v>
      </c>
      <c r="E67" s="20">
        <f t="shared" si="45"/>
        <v>0</v>
      </c>
      <c r="F67" s="26">
        <f t="shared" si="45"/>
        <v>0</v>
      </c>
    </row>
    <row r="68" spans="2:6" hidden="1" x14ac:dyDescent="0.3">
      <c r="B68" s="25">
        <v>40</v>
      </c>
      <c r="C68" s="20" t="str">
        <f t="shared" si="37"/>
        <v>ING10</v>
      </c>
      <c r="D68" s="20">
        <f t="shared" ref="D68:F68" si="46">D26</f>
        <v>0</v>
      </c>
      <c r="E68" s="20">
        <f t="shared" si="46"/>
        <v>0</v>
      </c>
      <c r="F68" s="26">
        <f t="shared" si="46"/>
        <v>0</v>
      </c>
    </row>
    <row r="69" spans="2:6" hidden="1" x14ac:dyDescent="0.3">
      <c r="B69" s="25">
        <v>41</v>
      </c>
      <c r="C69" s="20" t="str">
        <f>H17</f>
        <v>LA 1</v>
      </c>
      <c r="D69" s="20" t="str">
        <f t="shared" ref="D69:F78" si="47">I17</f>
        <v>AM116</v>
      </c>
      <c r="E69" s="20" t="str">
        <f t="shared" si="47"/>
        <v>Principios de Economía</v>
      </c>
      <c r="F69" s="26">
        <f t="shared" si="47"/>
        <v>2</v>
      </c>
    </row>
    <row r="70" spans="2:6" hidden="1" x14ac:dyDescent="0.3">
      <c r="B70" s="25">
        <v>42</v>
      </c>
      <c r="C70" s="20" t="str">
        <f t="shared" ref="C70:C78" si="48">H18</f>
        <v>LA 2</v>
      </c>
      <c r="D70" s="20" t="str">
        <f t="shared" si="47"/>
        <v>AM202</v>
      </c>
      <c r="E70" s="20" t="str">
        <f t="shared" si="47"/>
        <v>Administración II (Planeación y Organización)</v>
      </c>
      <c r="F70" s="26">
        <f t="shared" si="47"/>
        <v>3</v>
      </c>
    </row>
    <row r="71" spans="2:6" hidden="1" x14ac:dyDescent="0.3">
      <c r="B71" s="25">
        <v>43</v>
      </c>
      <c r="C71" s="20" t="str">
        <f t="shared" si="48"/>
        <v>LA 3</v>
      </c>
      <c r="D71" s="20" t="str">
        <f t="shared" si="47"/>
        <v>AM203</v>
      </c>
      <c r="E71" s="20" t="str">
        <f t="shared" si="47"/>
        <v>Contratación Estatal</v>
      </c>
      <c r="F71" s="26">
        <f t="shared" si="47"/>
        <v>3</v>
      </c>
    </row>
    <row r="72" spans="2:6" hidden="1" x14ac:dyDescent="0.3">
      <c r="B72" s="25">
        <v>44</v>
      </c>
      <c r="C72" s="20" t="str">
        <f t="shared" si="48"/>
        <v>LA 4</v>
      </c>
      <c r="D72" s="20" t="str">
        <f t="shared" si="47"/>
        <v>AM224</v>
      </c>
      <c r="E72" s="20" t="str">
        <f t="shared" si="47"/>
        <v>Gestión del Talento Humano</v>
      </c>
      <c r="F72" s="26">
        <f t="shared" si="47"/>
        <v>3</v>
      </c>
    </row>
    <row r="73" spans="2:6" hidden="1" x14ac:dyDescent="0.3">
      <c r="B73" s="25">
        <v>45</v>
      </c>
      <c r="C73" s="20" t="str">
        <f t="shared" si="48"/>
        <v>LA 5</v>
      </c>
      <c r="D73" s="20">
        <f t="shared" si="47"/>
        <v>0</v>
      </c>
      <c r="E73" s="20">
        <f t="shared" si="47"/>
        <v>0</v>
      </c>
      <c r="F73" s="26">
        <f t="shared" si="47"/>
        <v>0</v>
      </c>
    </row>
    <row r="74" spans="2:6" hidden="1" x14ac:dyDescent="0.3">
      <c r="B74" s="25">
        <v>46</v>
      </c>
      <c r="C74" s="20" t="str">
        <f t="shared" si="48"/>
        <v>LA 6</v>
      </c>
      <c r="D74" s="20">
        <f t="shared" si="47"/>
        <v>0</v>
      </c>
      <c r="E74" s="20">
        <f t="shared" si="47"/>
        <v>0</v>
      </c>
      <c r="F74" s="26">
        <f t="shared" si="47"/>
        <v>0</v>
      </c>
    </row>
    <row r="75" spans="2:6" hidden="1" x14ac:dyDescent="0.3">
      <c r="B75" s="25">
        <v>47</v>
      </c>
      <c r="C75" s="20" t="str">
        <f t="shared" si="48"/>
        <v>LA 7</v>
      </c>
      <c r="D75" s="20">
        <f t="shared" si="47"/>
        <v>0</v>
      </c>
      <c r="E75" s="20">
        <f t="shared" si="47"/>
        <v>0</v>
      </c>
      <c r="F75" s="26">
        <f t="shared" si="47"/>
        <v>0</v>
      </c>
    </row>
    <row r="76" spans="2:6" hidden="1" x14ac:dyDescent="0.3">
      <c r="B76" s="25">
        <v>48</v>
      </c>
      <c r="C76" s="20" t="str">
        <f t="shared" si="48"/>
        <v>LA 8</v>
      </c>
      <c r="D76" s="20">
        <f t="shared" si="47"/>
        <v>0</v>
      </c>
      <c r="E76" s="20">
        <f t="shared" si="47"/>
        <v>0</v>
      </c>
      <c r="F76" s="26">
        <f t="shared" si="47"/>
        <v>0</v>
      </c>
    </row>
    <row r="77" spans="2:6" hidden="1" x14ac:dyDescent="0.3">
      <c r="B77" s="25">
        <v>49</v>
      </c>
      <c r="C77" s="20" t="str">
        <f t="shared" si="48"/>
        <v>LA 9</v>
      </c>
      <c r="D77" s="20">
        <f t="shared" si="47"/>
        <v>0</v>
      </c>
      <c r="E77" s="20">
        <f t="shared" si="47"/>
        <v>0</v>
      </c>
      <c r="F77" s="26">
        <f t="shared" si="47"/>
        <v>0</v>
      </c>
    </row>
    <row r="78" spans="2:6" ht="15" hidden="1" thickBot="1" x14ac:dyDescent="0.35">
      <c r="B78" s="27">
        <v>50</v>
      </c>
      <c r="C78" s="28" t="str">
        <f t="shared" si="48"/>
        <v>LA 10</v>
      </c>
      <c r="D78" s="28">
        <f t="shared" si="47"/>
        <v>0</v>
      </c>
      <c r="E78" s="28">
        <f t="shared" si="47"/>
        <v>0</v>
      </c>
      <c r="F78" s="29">
        <f t="shared" si="47"/>
        <v>0</v>
      </c>
    </row>
    <row r="79" spans="2:6" hidden="1" x14ac:dyDescent="0.3"/>
  </sheetData>
  <sheetProtection algorithmName="SHA-512" hashValue="sfSGG/qObR3qGsp1Ycv3yCEHNeD90c8U1I/OpuEvOPoNFRDTO0WRgVXQDqxZrrlqCh1JGeVNkX3vBV39fdvzVg==" saltValue="2e3tJ7VuHzA0nR7oCKtdAQ==" spinCount="100000" sheet="1" objects="1" scenarios="1" selectLockedCells="1"/>
  <protectedRanges>
    <protectedRange sqref="D17:F26 D4:F13 I4:K13 N4:P13 I17:K26" name="Rango1"/>
  </protectedRanges>
  <mergeCells count="6">
    <mergeCell ref="N2:P2"/>
    <mergeCell ref="D15:F15"/>
    <mergeCell ref="I15:K15"/>
    <mergeCell ref="B2:B3"/>
    <mergeCell ref="I2:K2"/>
    <mergeCell ref="D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14</xdr:col>
                <xdr:colOff>220980</xdr:colOff>
                <xdr:row>13</xdr:row>
                <xdr:rowOff>175260</xdr:rowOff>
              </from>
              <to>
                <xdr:col>14</xdr:col>
                <xdr:colOff>1592580</xdr:colOff>
                <xdr:row>17</xdr:row>
                <xdr:rowOff>53340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59"/>
  <sheetViews>
    <sheetView showGridLines="0" zoomScale="115" zoomScaleNormal="115" workbookViewId="0">
      <pane ySplit="1" topLeftCell="A9" activePane="bottomLeft" state="frozen"/>
      <selection pane="bottomLeft" activeCell="H24" sqref="H24"/>
    </sheetView>
  </sheetViews>
  <sheetFormatPr baseColWidth="10" defaultColWidth="11.109375" defaultRowHeight="14.4" x14ac:dyDescent="0.3"/>
  <cols>
    <col min="1" max="1" width="10.44140625" style="81" customWidth="1"/>
    <col min="2" max="2" width="30.88671875" style="70" customWidth="1"/>
    <col min="3" max="3" width="10.44140625" style="81" customWidth="1"/>
    <col min="4" max="4" width="1.88671875" style="81" customWidth="1"/>
    <col min="5" max="5" width="10.44140625" style="81" customWidth="1"/>
    <col min="6" max="6" width="30.88671875" style="70" customWidth="1"/>
    <col min="7" max="7" width="1.88671875" style="81" customWidth="1"/>
    <col min="8" max="8" width="10.44140625" style="81" customWidth="1"/>
    <col min="9" max="9" width="34.33203125" style="70" customWidth="1"/>
    <col min="10" max="16384" width="11.109375" style="70"/>
  </cols>
  <sheetData>
    <row r="1" spans="1:9" ht="15" thickBot="1" x14ac:dyDescent="0.35">
      <c r="A1" s="16" t="s">
        <v>152</v>
      </c>
      <c r="B1" s="67" t="s">
        <v>148</v>
      </c>
      <c r="C1" s="16" t="s">
        <v>14</v>
      </c>
      <c r="D1" s="68"/>
      <c r="E1" s="12" t="s">
        <v>152</v>
      </c>
      <c r="F1" s="69" t="s">
        <v>148</v>
      </c>
      <c r="G1" s="68"/>
      <c r="H1" s="12" t="s">
        <v>152</v>
      </c>
      <c r="I1" s="69" t="s">
        <v>148</v>
      </c>
    </row>
    <row r="2" spans="1:9" x14ac:dyDescent="0.3">
      <c r="A2" s="71" t="s">
        <v>18</v>
      </c>
      <c r="B2" s="72" t="s">
        <v>19</v>
      </c>
      <c r="C2" s="71">
        <v>2</v>
      </c>
      <c r="D2" s="73"/>
      <c r="E2" s="71"/>
      <c r="F2" s="74"/>
      <c r="G2" s="73"/>
      <c r="H2" s="71"/>
      <c r="I2" s="74"/>
    </row>
    <row r="3" spans="1:9" x14ac:dyDescent="0.3">
      <c r="A3" s="75" t="s">
        <v>20</v>
      </c>
      <c r="B3" s="76" t="s">
        <v>21</v>
      </c>
      <c r="C3" s="75">
        <v>4</v>
      </c>
      <c r="D3" s="73"/>
      <c r="E3" s="75" t="s">
        <v>153</v>
      </c>
      <c r="F3" s="77" t="s">
        <v>154</v>
      </c>
      <c r="G3" s="73"/>
      <c r="H3" s="75"/>
      <c r="I3" s="77"/>
    </row>
    <row r="4" spans="1:9" x14ac:dyDescent="0.3">
      <c r="A4" s="75" t="s">
        <v>22</v>
      </c>
      <c r="B4" s="76" t="s">
        <v>23</v>
      </c>
      <c r="C4" s="75">
        <v>4</v>
      </c>
      <c r="D4" s="73"/>
      <c r="E4" s="75" t="s">
        <v>155</v>
      </c>
      <c r="F4" s="77" t="s">
        <v>156</v>
      </c>
      <c r="G4" s="73"/>
      <c r="H4" s="75"/>
      <c r="I4" s="77"/>
    </row>
    <row r="5" spans="1:9" x14ac:dyDescent="0.3">
      <c r="A5" s="75" t="s">
        <v>24</v>
      </c>
      <c r="B5" s="76" t="s">
        <v>25</v>
      </c>
      <c r="C5" s="75">
        <v>3</v>
      </c>
      <c r="D5" s="73"/>
      <c r="E5" s="75" t="s">
        <v>157</v>
      </c>
      <c r="F5" s="77" t="s">
        <v>158</v>
      </c>
      <c r="G5" s="73"/>
      <c r="H5" s="75"/>
      <c r="I5" s="77"/>
    </row>
    <row r="6" spans="1:9" x14ac:dyDescent="0.3">
      <c r="A6" s="75" t="s">
        <v>26</v>
      </c>
      <c r="B6" s="76" t="s">
        <v>27</v>
      </c>
      <c r="C6" s="75">
        <v>3</v>
      </c>
      <c r="D6" s="73"/>
      <c r="E6" s="75"/>
      <c r="F6" s="77"/>
      <c r="G6" s="73"/>
      <c r="H6" s="75"/>
      <c r="I6" s="77"/>
    </row>
    <row r="7" spans="1:9" x14ac:dyDescent="0.3">
      <c r="A7" s="75" t="s">
        <v>28</v>
      </c>
      <c r="B7" s="76" t="s">
        <v>29</v>
      </c>
      <c r="C7" s="75">
        <v>2</v>
      </c>
      <c r="D7" s="73"/>
      <c r="E7" s="75"/>
      <c r="F7" s="77"/>
      <c r="G7" s="73"/>
      <c r="H7" s="75"/>
      <c r="I7" s="77"/>
    </row>
    <row r="8" spans="1:9" x14ac:dyDescent="0.3">
      <c r="A8" s="75" t="s">
        <v>30</v>
      </c>
      <c r="B8" s="76" t="s">
        <v>31</v>
      </c>
      <c r="C8" s="75">
        <v>4</v>
      </c>
      <c r="D8" s="73"/>
      <c r="E8" s="75" t="s">
        <v>159</v>
      </c>
      <c r="F8" s="77" t="s">
        <v>160</v>
      </c>
      <c r="G8" s="73"/>
      <c r="H8" s="75"/>
      <c r="I8" s="77"/>
    </row>
    <row r="9" spans="1:9" x14ac:dyDescent="0.3">
      <c r="A9" s="75" t="s">
        <v>32</v>
      </c>
      <c r="B9" s="76" t="s">
        <v>33</v>
      </c>
      <c r="C9" s="75">
        <v>1</v>
      </c>
      <c r="D9" s="73"/>
      <c r="E9" s="75" t="s">
        <v>161</v>
      </c>
      <c r="F9" s="77" t="s">
        <v>162</v>
      </c>
      <c r="G9" s="73"/>
      <c r="H9" s="75" t="s">
        <v>163</v>
      </c>
      <c r="I9" s="77" t="s">
        <v>164</v>
      </c>
    </row>
    <row r="10" spans="1:9" x14ac:dyDescent="0.3">
      <c r="A10" s="75" t="s">
        <v>35</v>
      </c>
      <c r="B10" s="76" t="s">
        <v>36</v>
      </c>
      <c r="C10" s="75">
        <v>1</v>
      </c>
      <c r="D10" s="73"/>
      <c r="E10" s="75"/>
      <c r="F10" s="77"/>
      <c r="G10" s="73"/>
      <c r="H10" s="75"/>
      <c r="I10" s="77"/>
    </row>
    <row r="11" spans="1:9" x14ac:dyDescent="0.3">
      <c r="A11" s="75" t="s">
        <v>37</v>
      </c>
      <c r="B11" s="76" t="s">
        <v>38</v>
      </c>
      <c r="C11" s="75">
        <v>2</v>
      </c>
      <c r="D11" s="73"/>
      <c r="E11" s="75"/>
      <c r="F11" s="77"/>
      <c r="G11" s="73"/>
      <c r="H11" s="75"/>
      <c r="I11" s="77"/>
    </row>
    <row r="12" spans="1:9" x14ac:dyDescent="0.3">
      <c r="A12" s="75" t="s">
        <v>39</v>
      </c>
      <c r="B12" s="76" t="s">
        <v>40</v>
      </c>
      <c r="C12" s="75">
        <v>2</v>
      </c>
      <c r="D12" s="73"/>
      <c r="E12" s="75"/>
      <c r="F12" s="77"/>
      <c r="G12" s="73"/>
      <c r="H12" s="75"/>
      <c r="I12" s="77"/>
    </row>
    <row r="13" spans="1:9" x14ac:dyDescent="0.3">
      <c r="A13" s="75" t="s">
        <v>41</v>
      </c>
      <c r="B13" s="76" t="s">
        <v>42</v>
      </c>
      <c r="C13" s="75">
        <v>2</v>
      </c>
      <c r="D13" s="73"/>
      <c r="E13" s="75"/>
      <c r="F13" s="77"/>
      <c r="G13" s="73"/>
      <c r="H13" s="75"/>
      <c r="I13" s="77"/>
    </row>
    <row r="14" spans="1:9" x14ac:dyDescent="0.3">
      <c r="A14" s="75" t="s">
        <v>43</v>
      </c>
      <c r="B14" s="76" t="s">
        <v>44</v>
      </c>
      <c r="C14" s="75">
        <v>2</v>
      </c>
      <c r="D14" s="73"/>
      <c r="E14" s="75"/>
      <c r="F14" s="77"/>
      <c r="G14" s="73"/>
      <c r="H14" s="75"/>
      <c r="I14" s="77"/>
    </row>
    <row r="15" spans="1:9" x14ac:dyDescent="0.3">
      <c r="A15" s="75" t="s">
        <v>45</v>
      </c>
      <c r="B15" s="76" t="s">
        <v>46</v>
      </c>
      <c r="C15" s="75">
        <v>3</v>
      </c>
      <c r="D15" s="73"/>
      <c r="E15" s="75" t="s">
        <v>165</v>
      </c>
      <c r="F15" s="77" t="s">
        <v>166</v>
      </c>
      <c r="G15" s="73"/>
      <c r="H15" s="75"/>
      <c r="I15" s="77"/>
    </row>
    <row r="16" spans="1:9" x14ac:dyDescent="0.3">
      <c r="A16" s="75" t="s">
        <v>47</v>
      </c>
      <c r="B16" s="76" t="s">
        <v>48</v>
      </c>
      <c r="C16" s="75">
        <v>2</v>
      </c>
      <c r="D16" s="73"/>
      <c r="E16" s="75" t="s">
        <v>167</v>
      </c>
      <c r="F16" s="77" t="s">
        <v>48</v>
      </c>
      <c r="G16" s="73"/>
      <c r="H16" s="75"/>
      <c r="I16" s="77"/>
    </row>
    <row r="17" spans="1:9" x14ac:dyDescent="0.3">
      <c r="A17" s="75" t="s">
        <v>49</v>
      </c>
      <c r="B17" s="76" t="s">
        <v>50</v>
      </c>
      <c r="C17" s="75">
        <v>3</v>
      </c>
      <c r="D17" s="73"/>
      <c r="E17" s="75" t="s">
        <v>168</v>
      </c>
      <c r="F17" s="77" t="s">
        <v>169</v>
      </c>
      <c r="G17" s="73"/>
      <c r="H17" s="75"/>
      <c r="I17" s="77"/>
    </row>
    <row r="18" spans="1:9" x14ac:dyDescent="0.3">
      <c r="A18" s="75" t="s">
        <v>51</v>
      </c>
      <c r="B18" s="76" t="s">
        <v>52</v>
      </c>
      <c r="C18" s="75">
        <v>2</v>
      </c>
      <c r="D18" s="73"/>
      <c r="E18" s="75"/>
      <c r="F18" s="77"/>
      <c r="G18" s="73"/>
      <c r="H18" s="75"/>
      <c r="I18" s="77"/>
    </row>
    <row r="19" spans="1:9" x14ac:dyDescent="0.3">
      <c r="A19" s="75" t="s">
        <v>53</v>
      </c>
      <c r="B19" s="76" t="s">
        <v>54</v>
      </c>
      <c r="C19" s="75">
        <v>1</v>
      </c>
      <c r="D19" s="73"/>
      <c r="E19" s="75"/>
      <c r="F19" s="77"/>
      <c r="G19" s="73"/>
      <c r="H19" s="75"/>
      <c r="I19" s="77"/>
    </row>
    <row r="20" spans="1:9" x14ac:dyDescent="0.3">
      <c r="A20" s="75" t="s">
        <v>55</v>
      </c>
      <c r="B20" s="76" t="s">
        <v>56</v>
      </c>
      <c r="C20" s="75">
        <v>1</v>
      </c>
      <c r="D20" s="73"/>
      <c r="E20" s="75"/>
      <c r="F20" s="77"/>
      <c r="G20" s="73"/>
      <c r="H20" s="75"/>
      <c r="I20" s="77"/>
    </row>
    <row r="21" spans="1:9" x14ac:dyDescent="0.3">
      <c r="A21" s="75" t="s">
        <v>57</v>
      </c>
      <c r="B21" s="76" t="s">
        <v>58</v>
      </c>
      <c r="C21" s="75">
        <v>2</v>
      </c>
      <c r="D21" s="73"/>
      <c r="E21" s="75" t="s">
        <v>170</v>
      </c>
      <c r="F21" s="77" t="s">
        <v>58</v>
      </c>
      <c r="G21" s="73"/>
      <c r="H21" s="75"/>
      <c r="I21" s="77"/>
    </row>
    <row r="22" spans="1:9" x14ac:dyDescent="0.3">
      <c r="A22" s="75" t="s">
        <v>59</v>
      </c>
      <c r="B22" s="76" t="s">
        <v>60</v>
      </c>
      <c r="C22" s="75">
        <v>2</v>
      </c>
      <c r="D22" s="73"/>
      <c r="E22" s="75" t="s">
        <v>171</v>
      </c>
      <c r="F22" s="77" t="s">
        <v>172</v>
      </c>
      <c r="G22" s="73"/>
      <c r="H22" s="75"/>
      <c r="I22" s="77"/>
    </row>
    <row r="23" spans="1:9" x14ac:dyDescent="0.3">
      <c r="A23" s="75" t="s">
        <v>61</v>
      </c>
      <c r="B23" s="76" t="s">
        <v>62</v>
      </c>
      <c r="C23" s="75">
        <v>2</v>
      </c>
      <c r="D23" s="73"/>
      <c r="E23" s="75" t="s">
        <v>173</v>
      </c>
      <c r="F23" s="77" t="s">
        <v>174</v>
      </c>
      <c r="G23" s="73"/>
      <c r="H23" s="75" t="s">
        <v>243</v>
      </c>
      <c r="I23" s="77" t="s">
        <v>174</v>
      </c>
    </row>
    <row r="24" spans="1:9" x14ac:dyDescent="0.3">
      <c r="A24" s="75" t="s">
        <v>63</v>
      </c>
      <c r="B24" s="76" t="s">
        <v>64</v>
      </c>
      <c r="C24" s="75">
        <v>2</v>
      </c>
      <c r="D24" s="73"/>
      <c r="E24" s="75"/>
      <c r="F24" s="77"/>
      <c r="G24" s="73"/>
      <c r="H24" s="75"/>
      <c r="I24" s="77"/>
    </row>
    <row r="25" spans="1:9" x14ac:dyDescent="0.3">
      <c r="A25" s="75" t="s">
        <v>65</v>
      </c>
      <c r="B25" s="76" t="s">
        <v>66</v>
      </c>
      <c r="C25" s="75">
        <v>2</v>
      </c>
      <c r="D25" s="73"/>
      <c r="E25" s="75"/>
      <c r="F25" s="77"/>
      <c r="G25" s="73"/>
      <c r="H25" s="75"/>
      <c r="I25" s="77"/>
    </row>
    <row r="26" spans="1:9" x14ac:dyDescent="0.3">
      <c r="A26" s="75" t="s">
        <v>67</v>
      </c>
      <c r="B26" s="76" t="s">
        <v>68</v>
      </c>
      <c r="C26" s="75">
        <v>2</v>
      </c>
      <c r="D26" s="73"/>
      <c r="E26" s="75"/>
      <c r="F26" s="77"/>
      <c r="G26" s="73"/>
      <c r="H26" s="75"/>
      <c r="I26" s="77"/>
    </row>
    <row r="27" spans="1:9" x14ac:dyDescent="0.3">
      <c r="A27" s="75" t="s">
        <v>69</v>
      </c>
      <c r="B27" s="76" t="s">
        <v>70</v>
      </c>
      <c r="C27" s="75">
        <v>2</v>
      </c>
      <c r="D27" s="73"/>
      <c r="E27" s="75" t="s">
        <v>175</v>
      </c>
      <c r="F27" s="77" t="s">
        <v>70</v>
      </c>
      <c r="G27" s="73"/>
      <c r="H27" s="75"/>
      <c r="I27" s="77"/>
    </row>
    <row r="28" spans="1:9" x14ac:dyDescent="0.3">
      <c r="A28" s="75" t="s">
        <v>71</v>
      </c>
      <c r="B28" s="76" t="s">
        <v>72</v>
      </c>
      <c r="C28" s="75">
        <v>2</v>
      </c>
      <c r="D28" s="73"/>
      <c r="E28" s="75"/>
      <c r="F28" s="77"/>
      <c r="G28" s="73"/>
      <c r="H28" s="75"/>
      <c r="I28" s="77"/>
    </row>
    <row r="29" spans="1:9" x14ac:dyDescent="0.3">
      <c r="A29" s="75" t="s">
        <v>73</v>
      </c>
      <c r="B29" s="76" t="s">
        <v>74</v>
      </c>
      <c r="C29" s="75">
        <v>1</v>
      </c>
      <c r="D29" s="73"/>
      <c r="E29" s="75"/>
      <c r="F29" s="77"/>
      <c r="G29" s="73"/>
      <c r="H29" s="75"/>
      <c r="I29" s="77"/>
    </row>
    <row r="30" spans="1:9" x14ac:dyDescent="0.3">
      <c r="A30" s="75" t="s">
        <v>75</v>
      </c>
      <c r="B30" s="76" t="s">
        <v>76</v>
      </c>
      <c r="C30" s="75">
        <v>2</v>
      </c>
      <c r="D30" s="73"/>
      <c r="E30" s="75"/>
      <c r="F30" s="77"/>
      <c r="G30" s="73"/>
      <c r="H30" s="75"/>
      <c r="I30" s="77"/>
    </row>
    <row r="31" spans="1:9" x14ac:dyDescent="0.3">
      <c r="A31" s="75" t="s">
        <v>77</v>
      </c>
      <c r="B31" s="76" t="s">
        <v>78</v>
      </c>
      <c r="C31" s="75">
        <v>2</v>
      </c>
      <c r="D31" s="73"/>
      <c r="E31" s="75" t="s">
        <v>176</v>
      </c>
      <c r="F31" s="77" t="s">
        <v>177</v>
      </c>
      <c r="G31" s="73"/>
      <c r="H31" s="75" t="s">
        <v>178</v>
      </c>
      <c r="I31" s="77" t="s">
        <v>177</v>
      </c>
    </row>
    <row r="32" spans="1:9" x14ac:dyDescent="0.3">
      <c r="A32" s="75" t="s">
        <v>79</v>
      </c>
      <c r="B32" s="76" t="s">
        <v>80</v>
      </c>
      <c r="C32" s="75">
        <v>2</v>
      </c>
      <c r="D32" s="73"/>
      <c r="E32" s="75"/>
      <c r="F32" s="77"/>
      <c r="G32" s="73"/>
      <c r="H32" s="75"/>
      <c r="I32" s="77"/>
    </row>
    <row r="33" spans="1:9" x14ac:dyDescent="0.3">
      <c r="A33" s="75" t="s">
        <v>82</v>
      </c>
      <c r="B33" s="76" t="s">
        <v>83</v>
      </c>
      <c r="C33" s="75">
        <v>2</v>
      </c>
      <c r="D33" s="73"/>
      <c r="E33" s="75"/>
      <c r="F33" s="77"/>
      <c r="G33" s="73"/>
      <c r="H33" s="75"/>
      <c r="I33" s="77"/>
    </row>
    <row r="34" spans="1:9" x14ac:dyDescent="0.3">
      <c r="A34" s="75" t="s">
        <v>84</v>
      </c>
      <c r="B34" s="76" t="s">
        <v>85</v>
      </c>
      <c r="C34" s="75">
        <v>2</v>
      </c>
      <c r="D34" s="73"/>
      <c r="E34" s="75"/>
      <c r="F34" s="77"/>
      <c r="G34" s="73"/>
      <c r="H34" s="75"/>
      <c r="I34" s="77"/>
    </row>
    <row r="35" spans="1:9" x14ac:dyDescent="0.3">
      <c r="A35" s="75" t="s">
        <v>86</v>
      </c>
      <c r="B35" s="76" t="s">
        <v>87</v>
      </c>
      <c r="C35" s="75">
        <v>2</v>
      </c>
      <c r="D35" s="73"/>
      <c r="E35" s="75"/>
      <c r="F35" s="77"/>
      <c r="G35" s="73"/>
      <c r="H35" s="75"/>
      <c r="I35" s="77"/>
    </row>
    <row r="36" spans="1:9" x14ac:dyDescent="0.3">
      <c r="A36" s="75" t="s">
        <v>88</v>
      </c>
      <c r="B36" s="76" t="s">
        <v>89</v>
      </c>
      <c r="C36" s="75">
        <v>2</v>
      </c>
      <c r="D36" s="73"/>
      <c r="E36" s="75" t="s">
        <v>179</v>
      </c>
      <c r="F36" s="77" t="s">
        <v>180</v>
      </c>
      <c r="G36" s="73"/>
      <c r="H36" s="75" t="s">
        <v>181</v>
      </c>
      <c r="I36" s="77" t="s">
        <v>180</v>
      </c>
    </row>
    <row r="37" spans="1:9" x14ac:dyDescent="0.3">
      <c r="A37" s="75" t="s">
        <v>90</v>
      </c>
      <c r="B37" s="76" t="s">
        <v>91</v>
      </c>
      <c r="C37" s="75">
        <v>2</v>
      </c>
      <c r="D37" s="73"/>
      <c r="E37" s="75" t="s">
        <v>182</v>
      </c>
      <c r="F37" s="77" t="s">
        <v>91</v>
      </c>
      <c r="G37" s="73"/>
      <c r="H37" s="75"/>
      <c r="I37" s="77"/>
    </row>
    <row r="38" spans="1:9" x14ac:dyDescent="0.3">
      <c r="A38" s="75" t="s">
        <v>92</v>
      </c>
      <c r="B38" s="76" t="s">
        <v>93</v>
      </c>
      <c r="C38" s="75">
        <v>2</v>
      </c>
      <c r="D38" s="73"/>
      <c r="E38" s="75" t="s">
        <v>183</v>
      </c>
      <c r="F38" s="77" t="s">
        <v>184</v>
      </c>
      <c r="G38" s="73"/>
      <c r="H38" s="75" t="s">
        <v>185</v>
      </c>
      <c r="I38" s="77" t="s">
        <v>184</v>
      </c>
    </row>
    <row r="39" spans="1:9" x14ac:dyDescent="0.3">
      <c r="A39" s="75" t="s">
        <v>94</v>
      </c>
      <c r="B39" s="76" t="s">
        <v>95</v>
      </c>
      <c r="C39" s="75">
        <v>1</v>
      </c>
      <c r="D39" s="73"/>
      <c r="E39" s="75"/>
      <c r="F39" s="77"/>
      <c r="G39" s="73"/>
      <c r="H39" s="75"/>
      <c r="I39" s="77"/>
    </row>
    <row r="40" spans="1:9" x14ac:dyDescent="0.3">
      <c r="A40" s="75" t="s">
        <v>96</v>
      </c>
      <c r="B40" s="76" t="s">
        <v>97</v>
      </c>
      <c r="C40" s="75">
        <v>1</v>
      </c>
      <c r="D40" s="73"/>
      <c r="E40" s="75"/>
      <c r="F40" s="77"/>
      <c r="G40" s="73"/>
      <c r="H40" s="75"/>
      <c r="I40" s="77"/>
    </row>
    <row r="41" spans="1:9" x14ac:dyDescent="0.3">
      <c r="A41" s="75" t="s">
        <v>98</v>
      </c>
      <c r="B41" s="76" t="s">
        <v>99</v>
      </c>
      <c r="C41" s="75">
        <v>1</v>
      </c>
      <c r="D41" s="73"/>
      <c r="E41" s="75" t="s">
        <v>186</v>
      </c>
      <c r="F41" s="77" t="s">
        <v>99</v>
      </c>
      <c r="G41" s="73"/>
      <c r="H41" s="75"/>
      <c r="I41" s="77"/>
    </row>
    <row r="42" spans="1:9" x14ac:dyDescent="0.3">
      <c r="A42" s="75" t="s">
        <v>100</v>
      </c>
      <c r="B42" s="76" t="s">
        <v>101</v>
      </c>
      <c r="C42" s="75">
        <v>1</v>
      </c>
      <c r="D42" s="73"/>
      <c r="E42" s="75" t="s">
        <v>187</v>
      </c>
      <c r="F42" s="77" t="s">
        <v>188</v>
      </c>
      <c r="G42" s="73"/>
      <c r="H42" s="75" t="s">
        <v>201</v>
      </c>
      <c r="I42" s="77" t="s">
        <v>202</v>
      </c>
    </row>
    <row r="43" spans="1:9" x14ac:dyDescent="0.3">
      <c r="A43" s="75" t="s">
        <v>103</v>
      </c>
      <c r="B43" s="76" t="s">
        <v>104</v>
      </c>
      <c r="C43" s="75">
        <v>2</v>
      </c>
      <c r="D43" s="73"/>
      <c r="E43" s="75" t="s">
        <v>189</v>
      </c>
      <c r="F43" s="77" t="s">
        <v>104</v>
      </c>
      <c r="G43" s="73"/>
      <c r="H43" s="75"/>
      <c r="I43" s="77"/>
    </row>
    <row r="44" spans="1:9" x14ac:dyDescent="0.3">
      <c r="A44" s="75" t="s">
        <v>105</v>
      </c>
      <c r="B44" s="76" t="s">
        <v>106</v>
      </c>
      <c r="C44" s="75">
        <v>2</v>
      </c>
      <c r="D44" s="73"/>
      <c r="E44" s="75" t="s">
        <v>190</v>
      </c>
      <c r="F44" s="77" t="s">
        <v>191</v>
      </c>
      <c r="G44" s="73"/>
      <c r="H44" s="75" t="s">
        <v>192</v>
      </c>
      <c r="I44" s="77" t="s">
        <v>193</v>
      </c>
    </row>
    <row r="45" spans="1:9" x14ac:dyDescent="0.3">
      <c r="A45" s="75" t="s">
        <v>107</v>
      </c>
      <c r="B45" s="76" t="s">
        <v>108</v>
      </c>
      <c r="C45" s="75">
        <v>1</v>
      </c>
      <c r="D45" s="73"/>
      <c r="E45" s="75"/>
      <c r="F45" s="77"/>
      <c r="G45" s="73"/>
      <c r="H45" s="75"/>
      <c r="I45" s="77"/>
    </row>
    <row r="46" spans="1:9" x14ac:dyDescent="0.3">
      <c r="A46" s="75" t="s">
        <v>109</v>
      </c>
      <c r="B46" s="76" t="s">
        <v>110</v>
      </c>
      <c r="C46" s="75">
        <v>1</v>
      </c>
      <c r="D46" s="73"/>
      <c r="E46" s="75" t="s">
        <v>194</v>
      </c>
      <c r="F46" s="77" t="s">
        <v>195</v>
      </c>
      <c r="G46" s="73"/>
      <c r="H46" s="75"/>
      <c r="I46" s="77"/>
    </row>
    <row r="47" spans="1:9" x14ac:dyDescent="0.3">
      <c r="A47" s="75" t="s">
        <v>111</v>
      </c>
      <c r="B47" s="76" t="s">
        <v>112</v>
      </c>
      <c r="C47" s="75">
        <v>1</v>
      </c>
      <c r="D47" s="73"/>
      <c r="E47" s="75"/>
      <c r="F47" s="77"/>
      <c r="G47" s="73"/>
      <c r="H47" s="75"/>
      <c r="I47" s="77"/>
    </row>
    <row r="48" spans="1:9" x14ac:dyDescent="0.3">
      <c r="A48" s="75" t="s">
        <v>113</v>
      </c>
      <c r="B48" s="76" t="s">
        <v>114</v>
      </c>
      <c r="C48" s="75">
        <v>2</v>
      </c>
      <c r="D48" s="73"/>
      <c r="E48" s="75"/>
      <c r="F48" s="77"/>
      <c r="G48" s="73"/>
      <c r="H48" s="75"/>
      <c r="I48" s="77"/>
    </row>
    <row r="49" spans="1:9" x14ac:dyDescent="0.3">
      <c r="A49" s="75" t="s">
        <v>115</v>
      </c>
      <c r="B49" s="76" t="s">
        <v>116</v>
      </c>
      <c r="C49" s="75">
        <v>2</v>
      </c>
      <c r="D49" s="73"/>
      <c r="E49" s="75"/>
      <c r="F49" s="77"/>
      <c r="G49" s="73"/>
      <c r="H49" s="75"/>
      <c r="I49" s="77"/>
    </row>
    <row r="50" spans="1:9" x14ac:dyDescent="0.3">
      <c r="A50" s="75" t="s">
        <v>117</v>
      </c>
      <c r="B50" s="76" t="s">
        <v>118</v>
      </c>
      <c r="C50" s="75">
        <v>2</v>
      </c>
      <c r="D50" s="73"/>
      <c r="E50" s="75"/>
      <c r="F50" s="77"/>
      <c r="G50" s="73"/>
      <c r="H50" s="75"/>
      <c r="I50" s="77"/>
    </row>
    <row r="51" spans="1:9" x14ac:dyDescent="0.3">
      <c r="A51" s="75" t="s">
        <v>119</v>
      </c>
      <c r="B51" s="76" t="s">
        <v>120</v>
      </c>
      <c r="C51" s="75">
        <v>2</v>
      </c>
      <c r="D51" s="73"/>
      <c r="E51" s="75"/>
      <c r="F51" s="77"/>
      <c r="G51" s="73"/>
      <c r="H51" s="75"/>
      <c r="I51" s="77"/>
    </row>
    <row r="52" spans="1:9" x14ac:dyDescent="0.3">
      <c r="A52" s="75" t="s">
        <v>121</v>
      </c>
      <c r="B52" s="76" t="s">
        <v>122</v>
      </c>
      <c r="C52" s="75">
        <v>2</v>
      </c>
      <c r="D52" s="73"/>
      <c r="E52" s="75"/>
      <c r="F52" s="77"/>
      <c r="G52" s="73"/>
      <c r="H52" s="75"/>
      <c r="I52" s="77"/>
    </row>
    <row r="53" spans="1:9" x14ac:dyDescent="0.3">
      <c r="A53" s="75" t="s">
        <v>123</v>
      </c>
      <c r="B53" s="76" t="s">
        <v>124</v>
      </c>
      <c r="C53" s="75">
        <v>2</v>
      </c>
      <c r="D53" s="73"/>
      <c r="E53" s="75"/>
      <c r="F53" s="77"/>
      <c r="G53" s="73"/>
      <c r="H53" s="75"/>
      <c r="I53" s="77"/>
    </row>
    <row r="54" spans="1:9" x14ac:dyDescent="0.3">
      <c r="A54" s="75" t="s">
        <v>125</v>
      </c>
      <c r="B54" s="76" t="s">
        <v>126</v>
      </c>
      <c r="C54" s="75">
        <v>1</v>
      </c>
      <c r="D54" s="73"/>
      <c r="E54" s="75" t="s">
        <v>196</v>
      </c>
      <c r="F54" s="77" t="s">
        <v>197</v>
      </c>
      <c r="G54" s="73"/>
      <c r="H54" s="75"/>
      <c r="I54" s="77"/>
    </row>
    <row r="55" spans="1:9" x14ac:dyDescent="0.3">
      <c r="A55" s="75" t="s">
        <v>199</v>
      </c>
      <c r="B55" s="76" t="s">
        <v>128</v>
      </c>
      <c r="C55" s="75">
        <v>2</v>
      </c>
      <c r="D55" s="73"/>
      <c r="E55" s="75" t="s">
        <v>198</v>
      </c>
      <c r="F55" s="77" t="s">
        <v>128</v>
      </c>
      <c r="G55" s="73"/>
      <c r="H55" s="75" t="s">
        <v>127</v>
      </c>
      <c r="I55" s="77" t="s">
        <v>128</v>
      </c>
    </row>
    <row r="56" spans="1:9" x14ac:dyDescent="0.3">
      <c r="A56" s="75" t="s">
        <v>130</v>
      </c>
      <c r="B56" s="76" t="s">
        <v>131</v>
      </c>
      <c r="C56" s="75">
        <v>1</v>
      </c>
      <c r="D56" s="73"/>
      <c r="E56" s="75"/>
      <c r="F56" s="77"/>
      <c r="G56" s="73"/>
      <c r="H56" s="75"/>
      <c r="I56" s="77"/>
    </row>
    <row r="57" spans="1:9" x14ac:dyDescent="0.3">
      <c r="A57" s="75" t="s">
        <v>132</v>
      </c>
      <c r="B57" s="76" t="s">
        <v>133</v>
      </c>
      <c r="C57" s="75">
        <v>1</v>
      </c>
      <c r="D57" s="73"/>
      <c r="E57" s="75"/>
      <c r="F57" s="77"/>
      <c r="G57" s="73"/>
      <c r="H57" s="75"/>
      <c r="I57" s="77"/>
    </row>
    <row r="58" spans="1:9" x14ac:dyDescent="0.3">
      <c r="A58" s="75" t="s">
        <v>134</v>
      </c>
      <c r="B58" s="76" t="s">
        <v>135</v>
      </c>
      <c r="C58" s="75">
        <v>1</v>
      </c>
      <c r="D58" s="73"/>
      <c r="E58" s="75"/>
      <c r="F58" s="77"/>
      <c r="G58" s="73"/>
      <c r="H58" s="75"/>
      <c r="I58" s="77"/>
    </row>
    <row r="59" spans="1:9" ht="15" thickBot="1" x14ac:dyDescent="0.35">
      <c r="A59" s="78" t="s">
        <v>136</v>
      </c>
      <c r="B59" s="79" t="s">
        <v>137</v>
      </c>
      <c r="C59" s="78">
        <v>2</v>
      </c>
      <c r="D59" s="73"/>
      <c r="E59" s="78"/>
      <c r="F59" s="80"/>
      <c r="G59" s="73"/>
      <c r="H59" s="78"/>
      <c r="I59" s="80"/>
    </row>
  </sheetData>
  <sheetProtection selectLockedCells="1"/>
  <protectedRanges>
    <protectedRange sqref="D2:D59 G17:G59 G10:G15 G6:G7 G2" name="Rango1"/>
    <protectedRange sqref="G3:G5" name="Rango1_12"/>
    <protectedRange sqref="G8:G9" name="Rango1_13"/>
    <protectedRange sqref="G16" name="Rango1_14"/>
  </protectedRanges>
  <autoFilter ref="A1:I5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2025-10-06T22:58:07Z</cp:lastPrinted>
  <dcterms:created xsi:type="dcterms:W3CDTF">2024-08-29T16:28:19Z</dcterms:created>
  <dcterms:modified xsi:type="dcterms:W3CDTF">2026-05-05T18:40:16Z</dcterms:modified>
  <cp:category/>
  <cp:contentStatus/>
</cp:coreProperties>
</file>