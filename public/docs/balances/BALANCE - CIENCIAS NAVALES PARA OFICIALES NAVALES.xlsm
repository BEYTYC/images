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scuelanaval-my.sharepoint.com/personal/jestadisticaplen_enap_edu_co/Documents/Estadística/Bases de Datos/B.D Grados - Balances Académicos/PLANTILLAS BALANCES/NUEVOS/"/>
    </mc:Choice>
  </mc:AlternateContent>
  <xr:revisionPtr revIDLastSave="232" documentId="13_ncr:1_{B3F70602-465A-4EB8-9F96-22D7ACC8270F}" xr6:coauthVersionLast="47" xr6:coauthVersionMax="47" xr10:uidLastSave="{81024EB2-E8B3-4B5F-AB8E-60492A95EE92}"/>
  <bookViews>
    <workbookView showHorizontalScroll="0" showSheetTabs="0" xWindow="-108" yWindow="-108" windowWidth="23256" windowHeight="12456" xr2:uid="{00000000-000D-0000-FFFF-FFFF00000000}"/>
  </bookViews>
  <sheets>
    <sheet name="Balance" sheetId="1" r:id="rId1"/>
    <sheet name="Notas" sheetId="2" r:id="rId2"/>
    <sheet name="Optativas" sheetId="7" r:id="rId3"/>
    <sheet name="Equivalencia" sheetId="8" r:id="rId4"/>
  </sheets>
  <definedNames>
    <definedName name="_xlnm._FilterDatabase" localSheetId="0" hidden="1">Balance!$C$11:$L$74</definedName>
    <definedName name="_xlnm._FilterDatabase" localSheetId="3" hidden="1">Equivalencia!$A$1:$I$59</definedName>
    <definedName name="_xlnm.Print_Area" localSheetId="0">Balance!$C$3:$L$88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1" l="1"/>
  <c r="L9" i="1" l="1"/>
  <c r="D59" i="7" l="1"/>
  <c r="E59" i="7"/>
  <c r="F59" i="7"/>
  <c r="D60" i="7"/>
  <c r="E60" i="7"/>
  <c r="F60" i="7"/>
  <c r="D61" i="7"/>
  <c r="E61" i="7"/>
  <c r="F61" i="7"/>
  <c r="D62" i="7"/>
  <c r="E62" i="7"/>
  <c r="F62" i="7"/>
  <c r="D63" i="7"/>
  <c r="E63" i="7"/>
  <c r="F63" i="7"/>
  <c r="D64" i="7"/>
  <c r="E64" i="7"/>
  <c r="F64" i="7"/>
  <c r="D65" i="7"/>
  <c r="E65" i="7"/>
  <c r="F65" i="7"/>
  <c r="D66" i="7"/>
  <c r="E66" i="7"/>
  <c r="F66" i="7"/>
  <c r="D67" i="7"/>
  <c r="E67" i="7"/>
  <c r="F67" i="7"/>
  <c r="D68" i="7"/>
  <c r="E68" i="7"/>
  <c r="F68" i="7"/>
  <c r="D69" i="7"/>
  <c r="E69" i="7"/>
  <c r="F69" i="7"/>
  <c r="D70" i="7"/>
  <c r="E70" i="7"/>
  <c r="F70" i="7"/>
  <c r="D71" i="7"/>
  <c r="E71" i="7"/>
  <c r="F71" i="7"/>
  <c r="D72" i="7"/>
  <c r="E72" i="7"/>
  <c r="F72" i="7"/>
  <c r="D73" i="7"/>
  <c r="E73" i="7"/>
  <c r="F73" i="7"/>
  <c r="D74" i="7"/>
  <c r="E74" i="7"/>
  <c r="F74" i="7"/>
  <c r="D75" i="7"/>
  <c r="E75" i="7"/>
  <c r="F75" i="7"/>
  <c r="D76" i="7"/>
  <c r="E76" i="7"/>
  <c r="F76" i="7"/>
  <c r="D77" i="7"/>
  <c r="E77" i="7"/>
  <c r="F77" i="7"/>
  <c r="D78" i="7"/>
  <c r="E78" i="7"/>
  <c r="F78" i="7"/>
  <c r="C74" i="7"/>
  <c r="C63" i="7"/>
  <c r="H18" i="7"/>
  <c r="C70" i="7" s="1"/>
  <c r="H19" i="7"/>
  <c r="C71" i="7" s="1"/>
  <c r="H20" i="7"/>
  <c r="C72" i="7" s="1"/>
  <c r="H21" i="7"/>
  <c r="C73" i="7" s="1"/>
  <c r="H22" i="7"/>
  <c r="H23" i="7"/>
  <c r="C75" i="7" s="1"/>
  <c r="H24" i="7"/>
  <c r="C76" i="7" s="1"/>
  <c r="H25" i="7"/>
  <c r="C77" i="7" s="1"/>
  <c r="H26" i="7"/>
  <c r="C78" i="7" s="1"/>
  <c r="H17" i="7"/>
  <c r="C69" i="7" s="1"/>
  <c r="C18" i="7"/>
  <c r="C60" i="7" s="1"/>
  <c r="C19" i="7"/>
  <c r="C61" i="7" s="1"/>
  <c r="C20" i="7"/>
  <c r="C62" i="7" s="1"/>
  <c r="C21" i="7"/>
  <c r="C22" i="7"/>
  <c r="C64" i="7" s="1"/>
  <c r="C23" i="7"/>
  <c r="C65" i="7" s="1"/>
  <c r="C24" i="7"/>
  <c r="C66" i="7" s="1"/>
  <c r="C25" i="7"/>
  <c r="C67" i="7" s="1"/>
  <c r="C26" i="7"/>
  <c r="C68" i="7" s="1"/>
  <c r="C17" i="7"/>
  <c r="C59" i="7" s="1"/>
  <c r="C4" i="7"/>
  <c r="C29" i="7" s="1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E29" i="7"/>
  <c r="F29" i="7"/>
  <c r="E30" i="7"/>
  <c r="F30" i="7"/>
  <c r="E31" i="7"/>
  <c r="F31" i="7"/>
  <c r="E32" i="7"/>
  <c r="F32" i="7"/>
  <c r="E33" i="7"/>
  <c r="F33" i="7"/>
  <c r="E34" i="7"/>
  <c r="F34" i="7"/>
  <c r="E35" i="7"/>
  <c r="F35" i="7"/>
  <c r="E36" i="7"/>
  <c r="F36" i="7"/>
  <c r="E37" i="7"/>
  <c r="F37" i="7"/>
  <c r="E38" i="7"/>
  <c r="F38" i="7"/>
  <c r="E39" i="7"/>
  <c r="F39" i="7"/>
  <c r="E40" i="7"/>
  <c r="F40" i="7"/>
  <c r="E41" i="7"/>
  <c r="F41" i="7"/>
  <c r="E42" i="7"/>
  <c r="F42" i="7"/>
  <c r="E43" i="7"/>
  <c r="F43" i="7"/>
  <c r="E44" i="7"/>
  <c r="F44" i="7"/>
  <c r="E45" i="7"/>
  <c r="F45" i="7"/>
  <c r="E46" i="7"/>
  <c r="F46" i="7"/>
  <c r="E47" i="7"/>
  <c r="F47" i="7"/>
  <c r="E48" i="7"/>
  <c r="F48" i="7"/>
  <c r="E49" i="7"/>
  <c r="F49" i="7"/>
  <c r="E50" i="7"/>
  <c r="F50" i="7"/>
  <c r="E51" i="7"/>
  <c r="F51" i="7"/>
  <c r="E52" i="7"/>
  <c r="F52" i="7"/>
  <c r="E53" i="7"/>
  <c r="F53" i="7"/>
  <c r="E54" i="7"/>
  <c r="F54" i="7"/>
  <c r="E55" i="7"/>
  <c r="F55" i="7"/>
  <c r="E56" i="7"/>
  <c r="F56" i="7"/>
  <c r="E57" i="7"/>
  <c r="F57" i="7"/>
  <c r="E58" i="7"/>
  <c r="F58" i="7"/>
  <c r="H13" i="7"/>
  <c r="C48" i="7" s="1"/>
  <c r="H12" i="7"/>
  <c r="C47" i="7" s="1"/>
  <c r="H11" i="7"/>
  <c r="C46" i="7" s="1"/>
  <c r="H10" i="7"/>
  <c r="C45" i="7" s="1"/>
  <c r="H9" i="7"/>
  <c r="C44" i="7" s="1"/>
  <c r="H8" i="7"/>
  <c r="C43" i="7" s="1"/>
  <c r="H7" i="7"/>
  <c r="C42" i="7" s="1"/>
  <c r="H6" i="7"/>
  <c r="C41" i="7" s="1"/>
  <c r="H5" i="7"/>
  <c r="C40" i="7" s="1"/>
  <c r="H4" i="7"/>
  <c r="C39" i="7" s="1"/>
  <c r="M13" i="7"/>
  <c r="C58" i="7" s="1"/>
  <c r="M12" i="7"/>
  <c r="C57" i="7" s="1"/>
  <c r="M11" i="7"/>
  <c r="C56" i="7" s="1"/>
  <c r="M10" i="7"/>
  <c r="C55" i="7" s="1"/>
  <c r="M9" i="7"/>
  <c r="C54" i="7" s="1"/>
  <c r="M8" i="7"/>
  <c r="C53" i="7" s="1"/>
  <c r="M7" i="7"/>
  <c r="C52" i="7" s="1"/>
  <c r="M6" i="7"/>
  <c r="C51" i="7" s="1"/>
  <c r="M5" i="7"/>
  <c r="C50" i="7" s="1"/>
  <c r="M4" i="7"/>
  <c r="C49" i="7" s="1"/>
  <c r="C5" i="7"/>
  <c r="C30" i="7" s="1"/>
  <c r="C6" i="7"/>
  <c r="C31" i="7" s="1"/>
  <c r="C7" i="7"/>
  <c r="C32" i="7" s="1"/>
  <c r="C8" i="7"/>
  <c r="C33" i="7" s="1"/>
  <c r="C9" i="7"/>
  <c r="C34" i="7" s="1"/>
  <c r="C10" i="7"/>
  <c r="C35" i="7" s="1"/>
  <c r="C11" i="7"/>
  <c r="C36" i="7" s="1"/>
  <c r="C12" i="7"/>
  <c r="C37" i="7" s="1"/>
  <c r="C13" i="7"/>
  <c r="C38" i="7" s="1"/>
  <c r="G72" i="1" l="1"/>
  <c r="K72" i="1" s="1"/>
  <c r="G73" i="1"/>
  <c r="G74" i="1"/>
  <c r="G71" i="1"/>
  <c r="J71" i="1" s="1"/>
  <c r="G70" i="1"/>
  <c r="J70" i="1" s="1"/>
  <c r="H73" i="1"/>
  <c r="H74" i="1"/>
  <c r="H71" i="1"/>
  <c r="H72" i="1"/>
  <c r="G67" i="1"/>
  <c r="G51" i="1"/>
  <c r="H51" i="1" s="1"/>
  <c r="G35" i="1"/>
  <c r="H35" i="1" s="1"/>
  <c r="G19" i="1"/>
  <c r="G18" i="1"/>
  <c r="H18" i="1" s="1"/>
  <c r="G65" i="1"/>
  <c r="H65" i="1" s="1"/>
  <c r="G17" i="1"/>
  <c r="H17" i="1" s="1"/>
  <c r="G31" i="1"/>
  <c r="H31" i="1" s="1"/>
  <c r="G14" i="1"/>
  <c r="H14" i="1" s="1"/>
  <c r="G61" i="1"/>
  <c r="H61" i="1" s="1"/>
  <c r="G66" i="1"/>
  <c r="H66" i="1" s="1"/>
  <c r="G50" i="1"/>
  <c r="H50" i="1" s="1"/>
  <c r="G34" i="1"/>
  <c r="H34" i="1" s="1"/>
  <c r="G49" i="1"/>
  <c r="H49" i="1" s="1"/>
  <c r="G47" i="1"/>
  <c r="H47" i="1" s="1"/>
  <c r="G46" i="1"/>
  <c r="H46" i="1" s="1"/>
  <c r="G29" i="1"/>
  <c r="H29" i="1" s="1"/>
  <c r="G33" i="1"/>
  <c r="H33" i="1" s="1"/>
  <c r="G13" i="1"/>
  <c r="H13" i="1" s="1"/>
  <c r="G64" i="1"/>
  <c r="H64" i="1" s="1"/>
  <c r="G48" i="1"/>
  <c r="H48" i="1" s="1"/>
  <c r="G32" i="1"/>
  <c r="H32" i="1" s="1"/>
  <c r="G16" i="1"/>
  <c r="H16" i="1" s="1"/>
  <c r="G15" i="1"/>
  <c r="H15" i="1" s="1"/>
  <c r="G30" i="1"/>
  <c r="H30" i="1" s="1"/>
  <c r="G45" i="1"/>
  <c r="H45" i="1" s="1"/>
  <c r="G63" i="1"/>
  <c r="H63" i="1" s="1"/>
  <c r="G62" i="1"/>
  <c r="H62" i="1" s="1"/>
  <c r="G60" i="1"/>
  <c r="H60" i="1" s="1"/>
  <c r="G44" i="1"/>
  <c r="G28" i="1"/>
  <c r="H28" i="1" s="1"/>
  <c r="G12" i="1"/>
  <c r="H12" i="1" s="1"/>
  <c r="G59" i="1"/>
  <c r="H59" i="1" s="1"/>
  <c r="G43" i="1"/>
  <c r="H43" i="1" s="1"/>
  <c r="G27" i="1"/>
  <c r="H27" i="1" s="1"/>
  <c r="G42" i="1"/>
  <c r="H42" i="1" s="1"/>
  <c r="G24" i="1"/>
  <c r="H24" i="1" s="1"/>
  <c r="G39" i="1"/>
  <c r="H39" i="1" s="1"/>
  <c r="G38" i="1"/>
  <c r="H38" i="1" s="1"/>
  <c r="G69" i="1"/>
  <c r="H69" i="1" s="1"/>
  <c r="G20" i="1"/>
  <c r="H20" i="1" s="1"/>
  <c r="G58" i="1"/>
  <c r="H58" i="1" s="1"/>
  <c r="G26" i="1"/>
  <c r="H26" i="1" s="1"/>
  <c r="G22" i="1"/>
  <c r="H22" i="1" s="1"/>
  <c r="G21" i="1"/>
  <c r="H21" i="1" s="1"/>
  <c r="G57" i="1"/>
  <c r="H57" i="1" s="1"/>
  <c r="G41" i="1"/>
  <c r="H41" i="1" s="1"/>
  <c r="G25" i="1"/>
  <c r="H25" i="1" s="1"/>
  <c r="G56" i="1"/>
  <c r="H56" i="1" s="1"/>
  <c r="G40" i="1"/>
  <c r="H40" i="1" s="1"/>
  <c r="G23" i="1"/>
  <c r="H23" i="1" s="1"/>
  <c r="G37" i="1"/>
  <c r="H37" i="1" s="1"/>
  <c r="G55" i="1"/>
  <c r="G54" i="1"/>
  <c r="H54" i="1" s="1"/>
  <c r="G53" i="1"/>
  <c r="H53" i="1" s="1"/>
  <c r="G68" i="1"/>
  <c r="H68" i="1" s="1"/>
  <c r="G52" i="1"/>
  <c r="H52" i="1" s="1"/>
  <c r="G36" i="1"/>
  <c r="H36" i="1" s="1"/>
  <c r="H55" i="1" l="1"/>
  <c r="K55" i="1"/>
  <c r="L19" i="1"/>
  <c r="H19" i="1"/>
  <c r="L44" i="1"/>
  <c r="H44" i="1"/>
  <c r="L67" i="1"/>
  <c r="H67" i="1"/>
  <c r="H70" i="1"/>
  <c r="L70" i="1"/>
  <c r="L72" i="1"/>
  <c r="L73" i="1"/>
  <c r="L71" i="1"/>
  <c r="L74" i="1"/>
  <c r="L22" i="1"/>
  <c r="L65" i="1"/>
  <c r="L23" i="1"/>
  <c r="L42" i="1"/>
  <c r="L49" i="1"/>
  <c r="L36" i="1"/>
  <c r="L64" i="1"/>
  <c r="L18" i="1"/>
  <c r="L40" i="1"/>
  <c r="L63" i="1"/>
  <c r="L13" i="1"/>
  <c r="L50" i="1"/>
  <c r="L68" i="1"/>
  <c r="L56" i="1"/>
  <c r="L20" i="1"/>
  <c r="L59" i="1"/>
  <c r="L45" i="1"/>
  <c r="L33" i="1"/>
  <c r="L66" i="1"/>
  <c r="L35" i="1"/>
  <c r="L37" i="1"/>
  <c r="L48" i="1"/>
  <c r="L26" i="1"/>
  <c r="L27" i="1"/>
  <c r="L62" i="1"/>
  <c r="L34" i="1"/>
  <c r="L52" i="1"/>
  <c r="L58" i="1"/>
  <c r="L43" i="1"/>
  <c r="L25" i="1"/>
  <c r="L69" i="1"/>
  <c r="K12" i="1"/>
  <c r="K30" i="1"/>
  <c r="L30" i="1"/>
  <c r="K29" i="1"/>
  <c r="L29" i="1"/>
  <c r="L61" i="1"/>
  <c r="L51" i="1"/>
  <c r="L38" i="1"/>
  <c r="L16" i="1"/>
  <c r="L46" i="1"/>
  <c r="K31" i="1"/>
  <c r="L31" i="1"/>
  <c r="L53" i="1"/>
  <c r="L41" i="1"/>
  <c r="K28" i="1"/>
  <c r="L28" i="1"/>
  <c r="L15" i="1"/>
  <c r="L14" i="1"/>
  <c r="L54" i="1"/>
  <c r="L57" i="1"/>
  <c r="L39" i="1"/>
  <c r="L55" i="1"/>
  <c r="L21" i="1"/>
  <c r="L24" i="1"/>
  <c r="L60" i="1"/>
  <c r="L32" i="1"/>
  <c r="L47" i="1"/>
  <c r="L17" i="1"/>
  <c r="K14" i="1"/>
  <c r="K13" i="1"/>
  <c r="J74" i="1"/>
  <c r="K15" i="1"/>
  <c r="K74" i="1"/>
  <c r="L12" i="1"/>
  <c r="L8" i="1"/>
  <c r="F8" i="1"/>
  <c r="K18" i="1" l="1"/>
  <c r="K17" i="1"/>
  <c r="K16" i="1"/>
  <c r="K19" i="1" l="1"/>
  <c r="K21" i="1"/>
  <c r="K20" i="1"/>
  <c r="K23" i="1" l="1"/>
  <c r="K24" i="1"/>
  <c r="K22" i="1"/>
  <c r="K25" i="1" l="1"/>
  <c r="K26" i="1"/>
  <c r="K27" i="1"/>
  <c r="K32" i="1" l="1"/>
  <c r="K33" i="1"/>
  <c r="K34" i="1" l="1"/>
  <c r="K35" i="1"/>
  <c r="K36" i="1"/>
  <c r="K39" i="1" l="1"/>
  <c r="K38" i="1"/>
  <c r="K37" i="1"/>
  <c r="K40" i="1" l="1"/>
  <c r="K41" i="1"/>
  <c r="K42" i="1"/>
  <c r="K45" i="1" l="1"/>
  <c r="K44" i="1"/>
  <c r="K43" i="1"/>
  <c r="K46" i="1" l="1"/>
  <c r="K47" i="1"/>
  <c r="K48" i="1"/>
  <c r="K49" i="1" l="1"/>
  <c r="K51" i="1"/>
  <c r="K50" i="1"/>
  <c r="K52" i="1" l="1"/>
  <c r="K53" i="1"/>
  <c r="K54" i="1"/>
  <c r="K56" i="1" l="1"/>
  <c r="K57" i="1"/>
  <c r="K58" i="1" l="1"/>
  <c r="K60" i="1"/>
  <c r="K59" i="1"/>
  <c r="K61" i="1" l="1"/>
  <c r="K62" i="1"/>
  <c r="K63" i="1"/>
  <c r="K64" i="1" l="1"/>
  <c r="K66" i="1"/>
  <c r="K65" i="1"/>
  <c r="K67" i="1" l="1"/>
  <c r="K68" i="1"/>
  <c r="K69" i="1"/>
  <c r="K71" i="1" l="1"/>
  <c r="J72" i="1"/>
  <c r="K70" i="1"/>
  <c r="J73" i="1" l="1"/>
  <c r="J76" i="1" s="1"/>
  <c r="K73" i="1"/>
  <c r="J77" i="1" l="1"/>
</calcChain>
</file>

<file path=xl/sharedStrings.xml><?xml version="1.0" encoding="utf-8"?>
<sst xmlns="http://schemas.openxmlformats.org/spreadsheetml/2006/main" count="397" uniqueCount="248">
  <si>
    <t xml:space="preserve"> </t>
  </si>
  <si>
    <t>BALANCE ACADÉMICO</t>
  </si>
  <si>
    <r>
      <rPr>
        <b/>
        <sz val="9"/>
        <color theme="1"/>
        <rFont val="Aptos Display"/>
        <family val="2"/>
        <scheme val="major"/>
      </rPr>
      <t>Autoridad:</t>
    </r>
    <r>
      <rPr>
        <sz val="9"/>
        <color theme="1"/>
        <rFont val="Aptos Display"/>
        <family val="2"/>
        <scheme val="major"/>
      </rPr>
      <t xml:space="preserve"> JINEN</t>
    </r>
  </si>
  <si>
    <r>
      <rPr>
        <b/>
        <sz val="8"/>
        <color theme="1"/>
        <rFont val="Aptos Display"/>
        <family val="2"/>
        <scheme val="major"/>
      </rPr>
      <t xml:space="preserve">Proceso: </t>
    </r>
    <r>
      <rPr>
        <sz val="8"/>
        <color theme="1"/>
        <rFont val="Aptos Display"/>
        <family val="2"/>
        <scheme val="major"/>
      </rPr>
      <t>Educación</t>
    </r>
  </si>
  <si>
    <r>
      <t xml:space="preserve">Página 
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de 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</t>
    </r>
  </si>
  <si>
    <r>
      <rPr>
        <b/>
        <sz val="8"/>
        <color theme="1"/>
        <rFont val="Aptos Display"/>
        <family val="2"/>
        <scheme val="major"/>
      </rPr>
      <t xml:space="preserve">Código: </t>
    </r>
    <r>
      <rPr>
        <sz val="8"/>
        <color theme="1"/>
        <rFont val="Aptos Display"/>
        <family val="2"/>
        <scheme val="major"/>
      </rPr>
      <t>EDUCA-FT-009-JINEN-V05</t>
    </r>
  </si>
  <si>
    <t>NOMBRES Y APELLIDOS:</t>
  </si>
  <si>
    <t>Fecha elaboración:</t>
  </si>
  <si>
    <t>PROGRAMA ACADÉMICO:</t>
  </si>
  <si>
    <t xml:space="preserve">CIENCIAS NAVALES PARA OFICIALES NAVALES </t>
  </si>
  <si>
    <t>Periodo de terminación:</t>
  </si>
  <si>
    <t>COD.</t>
  </si>
  <si>
    <t>PÉNSUM VIGENTE AÑO 2015</t>
  </si>
  <si>
    <t>PÉNSUM CURSADO</t>
  </si>
  <si>
    <t>CRÉDITOS</t>
  </si>
  <si>
    <t>NOTA</t>
  </si>
  <si>
    <t>HAB.</t>
  </si>
  <si>
    <t>Formación Básica</t>
  </si>
  <si>
    <t>CB109</t>
  </si>
  <si>
    <t>Álgebra Lineal</t>
  </si>
  <si>
    <t>CB112</t>
  </si>
  <si>
    <t>Cálculo Diferencial</t>
  </si>
  <si>
    <t>CB113</t>
  </si>
  <si>
    <t>Cálculo Integral</t>
  </si>
  <si>
    <t>CB405</t>
  </si>
  <si>
    <t>Estadística Descriptiva y Probabilidad</t>
  </si>
  <si>
    <t>CB402</t>
  </si>
  <si>
    <t>Estadística Inferencial</t>
  </si>
  <si>
    <t>CB100</t>
  </si>
  <si>
    <t>Fundamentos de Matemáticas</t>
  </si>
  <si>
    <t>CB211</t>
  </si>
  <si>
    <t>Física Mecánica - Laboratorio</t>
  </si>
  <si>
    <t>IN509</t>
  </si>
  <si>
    <t>Fundamento de Motores</t>
  </si>
  <si>
    <t>Formación Militar</t>
  </si>
  <si>
    <t>CN310</t>
  </si>
  <si>
    <t>Comunicaciones Básicas</t>
  </si>
  <si>
    <t>CN311</t>
  </si>
  <si>
    <t>Comunicaciones Electromagnéticas</t>
  </si>
  <si>
    <t>CN400</t>
  </si>
  <si>
    <t>Fundamentos de Sistema de Armas</t>
  </si>
  <si>
    <t>CN330</t>
  </si>
  <si>
    <t>Maniobras</t>
  </si>
  <si>
    <t>CN300</t>
  </si>
  <si>
    <t>Marinería</t>
  </si>
  <si>
    <t>CN335</t>
  </si>
  <si>
    <t>Navegación Astronómica</t>
  </si>
  <si>
    <t>CN301</t>
  </si>
  <si>
    <t>Navegación Costera</t>
  </si>
  <si>
    <t>CN337</t>
  </si>
  <si>
    <t>Navegación Electrónica</t>
  </si>
  <si>
    <t>CN200</t>
  </si>
  <si>
    <t>Nociones de Táctica</t>
  </si>
  <si>
    <t>CN220</t>
  </si>
  <si>
    <t>Operaciones Navales</t>
  </si>
  <si>
    <t>CN101</t>
  </si>
  <si>
    <t>Orientación Naval</t>
  </si>
  <si>
    <t>CN404</t>
  </si>
  <si>
    <t>Sistema de Armas Electrónicas</t>
  </si>
  <si>
    <t>CN411</t>
  </si>
  <si>
    <t>Sistemas de Armas Sensoricas</t>
  </si>
  <si>
    <t>CN205</t>
  </si>
  <si>
    <t>Táctica Naval I</t>
  </si>
  <si>
    <t>CN204</t>
  </si>
  <si>
    <t>Táctica Naval II</t>
  </si>
  <si>
    <t>CS103</t>
  </si>
  <si>
    <t>Derecho del Mar y Fluvial</t>
  </si>
  <si>
    <t>CS205</t>
  </si>
  <si>
    <t>Historia Naval</t>
  </si>
  <si>
    <t>IM252</t>
  </si>
  <si>
    <t>Armamento I</t>
  </si>
  <si>
    <t>IM213</t>
  </si>
  <si>
    <t>Inteligencia Básica, Contrainteligencia y Seguridad Militar</t>
  </si>
  <si>
    <t>IM144</t>
  </si>
  <si>
    <t>Operaciones Fluviales</t>
  </si>
  <si>
    <t>IN207</t>
  </si>
  <si>
    <t>Control de Averías y Prácticas</t>
  </si>
  <si>
    <t>IN219</t>
  </si>
  <si>
    <t>Fundamentos de Estabilidad</t>
  </si>
  <si>
    <t>IN202</t>
  </si>
  <si>
    <t>Maquinaria Naval</t>
  </si>
  <si>
    <t>F. Profesional Espécifica</t>
  </si>
  <si>
    <t>AM701</t>
  </si>
  <si>
    <t>Logística General</t>
  </si>
  <si>
    <t>AM407</t>
  </si>
  <si>
    <t>Presupuesto y Tesorería</t>
  </si>
  <si>
    <t>AM401</t>
  </si>
  <si>
    <t>Principios de Contabilidad</t>
  </si>
  <si>
    <t>AM200</t>
  </si>
  <si>
    <t>Procesos Administrativos</t>
  </si>
  <si>
    <t>AM670</t>
  </si>
  <si>
    <t>Régimen Fiscal y Control Interno</t>
  </si>
  <si>
    <t>CB404</t>
  </si>
  <si>
    <t>Informática</t>
  </si>
  <si>
    <t>CS118</t>
  </si>
  <si>
    <t>Derecho Penal Militar</t>
  </si>
  <si>
    <t>CS119</t>
  </si>
  <si>
    <t>Procedimientos Disciplinarios y Administrativos</t>
  </si>
  <si>
    <t>OF126</t>
  </si>
  <si>
    <t>Meteorología General</t>
  </si>
  <si>
    <t>OF201</t>
  </si>
  <si>
    <t>Oceanografía General</t>
  </si>
  <si>
    <t>F. Socio Humanística</t>
  </si>
  <si>
    <t>CS112</t>
  </si>
  <si>
    <t>Derecho Constitucional</t>
  </si>
  <si>
    <t>CS141</t>
  </si>
  <si>
    <t>Derechos Humanos y Derecho Internacional Humanitario</t>
  </si>
  <si>
    <t>CS400</t>
  </si>
  <si>
    <t>Ética Básica</t>
  </si>
  <si>
    <t>CS402</t>
  </si>
  <si>
    <t>Ética Profesional</t>
  </si>
  <si>
    <t>CS131</t>
  </si>
  <si>
    <t>Fundamentos de Liderazgo</t>
  </si>
  <si>
    <t>CS314</t>
  </si>
  <si>
    <t>Idiomas I</t>
  </si>
  <si>
    <t>CS315</t>
  </si>
  <si>
    <t>Idiomas II</t>
  </si>
  <si>
    <t>CS316</t>
  </si>
  <si>
    <t>Idiomas III</t>
  </si>
  <si>
    <t>CS317</t>
  </si>
  <si>
    <t>Idiomas IV</t>
  </si>
  <si>
    <t>CS318</t>
  </si>
  <si>
    <t>Idiomas V</t>
  </si>
  <si>
    <t>CS319</t>
  </si>
  <si>
    <t>Idiomas VI</t>
  </si>
  <si>
    <t>CS142</t>
  </si>
  <si>
    <t>Liderazgo Militar</t>
  </si>
  <si>
    <t>IM256</t>
  </si>
  <si>
    <t>Acción Integral</t>
  </si>
  <si>
    <t>F. Invest.</t>
  </si>
  <si>
    <t>CS711</t>
  </si>
  <si>
    <t>Investigación Formativa I</t>
  </si>
  <si>
    <t>CS712</t>
  </si>
  <si>
    <t>Investigación Formativa II</t>
  </si>
  <si>
    <t>CS713</t>
  </si>
  <si>
    <t>Investigación Formativa III</t>
  </si>
  <si>
    <t>CS200</t>
  </si>
  <si>
    <t>Técnicas de Expresión Oral y Escrita</t>
  </si>
  <si>
    <t>Énfasis</t>
  </si>
  <si>
    <r>
      <rPr>
        <b/>
        <sz val="8"/>
        <rFont val="Aptos Display"/>
        <family val="2"/>
        <scheme val="major"/>
      </rPr>
      <t xml:space="preserve">Optativas de Énfasis </t>
    </r>
    <r>
      <rPr>
        <sz val="8"/>
        <rFont val="Aptos Display"/>
        <family val="2"/>
        <scheme val="major"/>
      </rPr>
      <t>(11 créditos)</t>
    </r>
  </si>
  <si>
    <t>TOTAL CRÉDITOS APROBADOS</t>
  </si>
  <si>
    <t>PROMEDIO PONDERADO ACUMULADO</t>
  </si>
  <si>
    <r>
      <rPr>
        <b/>
        <sz val="8"/>
        <color theme="1"/>
        <rFont val="Aptos Display"/>
        <family val="2"/>
        <scheme val="major"/>
      </rPr>
      <t>OBSERVACIONES:</t>
    </r>
    <r>
      <rPr>
        <sz val="8"/>
        <color theme="1"/>
        <rFont val="Aptos Display"/>
        <family val="2"/>
        <scheme val="major"/>
      </rPr>
      <t xml:space="preserve"> </t>
    </r>
  </si>
  <si>
    <t>N</t>
  </si>
  <si>
    <t>SPO</t>
  </si>
  <si>
    <t>SPA</t>
  </si>
  <si>
    <t>SPE</t>
  </si>
  <si>
    <t>CÓD</t>
  </si>
  <si>
    <t>ASIGNATURA</t>
  </si>
  <si>
    <t>CRÉD</t>
  </si>
  <si>
    <t>ING</t>
  </si>
  <si>
    <t>LA </t>
  </si>
  <si>
    <t>CÓDIGO</t>
  </si>
  <si>
    <t>CB101</t>
  </si>
  <si>
    <t>Matemáticas I</t>
  </si>
  <si>
    <t>CB102</t>
  </si>
  <si>
    <t>Matemáticas II</t>
  </si>
  <si>
    <t>CB401</t>
  </si>
  <si>
    <t xml:space="preserve">Estadística Descriptiva y Probabilidad </t>
  </si>
  <si>
    <t>CB201</t>
  </si>
  <si>
    <t>Física Mecánica</t>
  </si>
  <si>
    <t>IN220</t>
  </si>
  <si>
    <t>Motores</t>
  </si>
  <si>
    <t>IN201</t>
  </si>
  <si>
    <t>Fundamentos de Motores</t>
  </si>
  <si>
    <t>CN334</t>
  </si>
  <si>
    <t>Navegación III - Astronómica</t>
  </si>
  <si>
    <t>CN320</t>
  </si>
  <si>
    <t>CN326</t>
  </si>
  <si>
    <t>Navegación IV - Electrónica</t>
  </si>
  <si>
    <t>CN408</t>
  </si>
  <si>
    <t>CN402</t>
  </si>
  <si>
    <t>Sistema De Armas II (Sensoricas)</t>
  </si>
  <si>
    <t>CN202</t>
  </si>
  <si>
    <t xml:space="preserve">Táctica Naval I </t>
  </si>
  <si>
    <t>IM232</t>
  </si>
  <si>
    <t>IN500</t>
  </si>
  <si>
    <t>Estabilidad</t>
  </si>
  <si>
    <t>IN206</t>
  </si>
  <si>
    <t>AM201</t>
  </si>
  <si>
    <t>Administración General</t>
  </si>
  <si>
    <t>AM229</t>
  </si>
  <si>
    <t>AM601</t>
  </si>
  <si>
    <t>IN421</t>
  </si>
  <si>
    <t>Herramientas computacionales</t>
  </si>
  <si>
    <t>IN422</t>
  </si>
  <si>
    <t>OF101</t>
  </si>
  <si>
    <t>OF102</t>
  </si>
  <si>
    <t xml:space="preserve">Oceanografía General </t>
  </si>
  <si>
    <t>CN605</t>
  </si>
  <si>
    <t>CS171</t>
  </si>
  <si>
    <t>DH y DIH - Conflictos Armados</t>
  </si>
  <si>
    <t>CS101</t>
  </si>
  <si>
    <t>Derechos Humanos</t>
  </si>
  <si>
    <t>CS203</t>
  </si>
  <si>
    <t xml:space="preserve">Ética Profesional </t>
  </si>
  <si>
    <t>CS132</t>
  </si>
  <si>
    <t>Liderazgo Táctico</t>
  </si>
  <si>
    <t>IM240</t>
  </si>
  <si>
    <t>IM126</t>
  </si>
  <si>
    <r>
      <rPr>
        <b/>
        <sz val="8"/>
        <color theme="1"/>
        <rFont val="Aptos Display"/>
        <family val="2"/>
        <scheme val="major"/>
      </rPr>
      <t>Rige a partir de</t>
    </r>
    <r>
      <rPr>
        <sz val="8"/>
        <color theme="1"/>
        <rFont val="Aptos Display"/>
        <family val="2"/>
        <scheme val="major"/>
      </rPr>
      <t xml:space="preserve">: 
09/05/2022 </t>
    </r>
  </si>
  <si>
    <t>OF115</t>
  </si>
  <si>
    <t>Introducción a la Oceanografía Física</t>
  </si>
  <si>
    <t>ESPECIALIDAD:</t>
  </si>
  <si>
    <t>Decano Facultad Ciencias Navales</t>
  </si>
  <si>
    <t>IN126</t>
  </si>
  <si>
    <t>IN449</t>
  </si>
  <si>
    <t>Introducción a la Electrónica</t>
  </si>
  <si>
    <t>IN611</t>
  </si>
  <si>
    <t>IN600</t>
  </si>
  <si>
    <t>OF500</t>
  </si>
  <si>
    <t>Meteorología Marina</t>
  </si>
  <si>
    <t>OF123</t>
  </si>
  <si>
    <t>Oceanografía Biológica</t>
  </si>
  <si>
    <t>OF300</t>
  </si>
  <si>
    <t>Hidrografía</t>
  </si>
  <si>
    <t>CS110</t>
  </si>
  <si>
    <t>Legislación Ambiental Marina</t>
  </si>
  <si>
    <t>OF200</t>
  </si>
  <si>
    <t>Instrumentación Oceanográfica</t>
  </si>
  <si>
    <t>OF314</t>
  </si>
  <si>
    <t>Gestión Ambiental</t>
  </si>
  <si>
    <t>Procesos Judiciales y Disciplinarios</t>
  </si>
  <si>
    <t>AM217</t>
  </si>
  <si>
    <t>Sistemas Integrados de Gestión</t>
  </si>
  <si>
    <t>AM101</t>
  </si>
  <si>
    <t>Economía I Principios</t>
  </si>
  <si>
    <t>Electricidad I Circuitos de Corriente Directa y Laboratorio</t>
  </si>
  <si>
    <t>Electricidad II Circuitos de Corriente Alterna y Laboratorio</t>
  </si>
  <si>
    <t>Estática</t>
  </si>
  <si>
    <t>Física Eléctrica</t>
  </si>
  <si>
    <t>Principios de Mantenimiento</t>
  </si>
  <si>
    <t>Principios de Economía</t>
  </si>
  <si>
    <t>AM202</t>
  </si>
  <si>
    <t>Administración II (Planeación y Organización)</t>
  </si>
  <si>
    <t>AM102</t>
  </si>
  <si>
    <t>Microeconomía</t>
  </si>
  <si>
    <t>CS145</t>
  </si>
  <si>
    <t>IN125</t>
  </si>
  <si>
    <t>AM203</t>
  </si>
  <si>
    <t>AM224</t>
  </si>
  <si>
    <t>Contratación Estatal</t>
  </si>
  <si>
    <t>Gestión del Talento Humano</t>
  </si>
  <si>
    <t>CN203</t>
  </si>
  <si>
    <t>CB213</t>
  </si>
  <si>
    <t>AM116</t>
  </si>
  <si>
    <t>Validación</t>
  </si>
  <si>
    <t>Jefe Programa Ciencias Navales para Oficiales Navales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</si>
</sst>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164" formatCode="0.000"/>
    <numFmt numFmtId="165" formatCode="#,##0.000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theme="0"/>
      <name val="Aptos Display"/>
      <family val="2"/>
      <scheme val="major"/>
    </font>
    <font>
      <sz val="9"/>
      <color theme="1"/>
      <name val="Aptos Display"/>
      <family val="2"/>
      <scheme val="major"/>
    </font>
    <font>
      <b/>
      <sz val="14"/>
      <color theme="1"/>
      <name val="Aptos Display"/>
      <family val="2"/>
      <scheme val="major"/>
    </font>
    <font>
      <b/>
      <sz val="9"/>
      <color theme="1"/>
      <name val="Aptos Display"/>
      <family val="2"/>
      <scheme val="major"/>
    </font>
    <font>
      <sz val="8"/>
      <color theme="1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sz val="8"/>
      <name val="Aptos Display"/>
      <family val="2"/>
      <scheme val="major"/>
    </font>
    <font>
      <b/>
      <sz val="8"/>
      <name val="Aptos Display"/>
      <family val="2"/>
      <scheme val="major"/>
    </font>
    <font>
      <sz val="7"/>
      <name val="Aptos Display"/>
      <family val="2"/>
      <scheme val="major"/>
    </font>
    <font>
      <b/>
      <sz val="7"/>
      <name val="Aptos Display"/>
      <family val="2"/>
      <scheme val="major"/>
    </font>
    <font>
      <b/>
      <sz val="10"/>
      <color theme="1"/>
      <name val="Aptos Display"/>
      <family val="2"/>
      <scheme val="major"/>
    </font>
    <font>
      <sz val="10"/>
      <color theme="1"/>
      <name val="Aptos Display"/>
      <family val="2"/>
      <scheme val="major"/>
    </font>
    <font>
      <u/>
      <sz val="9"/>
      <color theme="1"/>
      <name val="Aptos Display"/>
      <family val="2"/>
      <scheme val="major"/>
    </font>
    <font>
      <sz val="9"/>
      <color theme="3" tint="0.89999084444715716"/>
      <name val="Aptos Display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rgb="FFE2EE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/>
      <right/>
      <top style="thin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theme="0" tint="-4.9989318521683403E-2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/>
      <bottom/>
      <diagonal/>
    </border>
    <border>
      <left/>
      <right style="thin">
        <color theme="3" tint="0.749992370372631"/>
      </right>
      <top style="thin">
        <color theme="3" tint="0.749992370372631"/>
      </top>
      <bottom/>
      <diagonal/>
    </border>
    <border>
      <left/>
      <right style="thin">
        <color theme="3" tint="0.749992370372631"/>
      </right>
      <top/>
      <bottom/>
      <diagonal/>
    </border>
    <border>
      <left style="thin">
        <color indexed="64"/>
      </left>
      <right style="thin">
        <color theme="3" tint="0.749992370372631"/>
      </right>
      <top/>
      <bottom/>
      <diagonal/>
    </border>
    <border>
      <left style="thin">
        <color theme="3" tint="0.749992370372631"/>
      </left>
      <right/>
      <top/>
      <bottom style="thin">
        <color theme="3" tint="0.749992370372631"/>
      </bottom>
      <diagonal/>
    </border>
    <border>
      <left/>
      <right/>
      <top/>
      <bottom style="thin">
        <color theme="3" tint="0.749992370372631"/>
      </bottom>
      <diagonal/>
    </border>
    <border>
      <left/>
      <right style="thin">
        <color theme="3" tint="0.749992370372631"/>
      </right>
      <top/>
      <bottom style="thin">
        <color theme="3" tint="0.749992370372631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197">
    <xf numFmtId="0" fontId="0" fillId="0" borderId="0" xfId="0"/>
    <xf numFmtId="3" fontId="0" fillId="0" borderId="0" xfId="0" applyNumberForma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 textRotation="90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3" fillId="0" borderId="12" xfId="0" applyFont="1" applyBorder="1" applyAlignment="1">
      <alignment horizontal="center" vertical="center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0" fontId="0" fillId="4" borderId="7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5" xfId="0" applyFill="1" applyBorder="1" applyAlignment="1">
      <alignment vertical="center"/>
    </xf>
    <xf numFmtId="0" fontId="0" fillId="4" borderId="8" xfId="0" applyFill="1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vertical="center"/>
      <protection locked="0"/>
    </xf>
    <xf numFmtId="0" fontId="10" fillId="2" borderId="32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1" fontId="10" fillId="2" borderId="25" xfId="0" applyNumberFormat="1" applyFont="1" applyFill="1" applyBorder="1" applyAlignment="1">
      <alignment horizontal="center" vertical="center"/>
    </xf>
    <xf numFmtId="0" fontId="9" fillId="0" borderId="31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4" fillId="0" borderId="37" xfId="0" applyFont="1" applyBorder="1" applyAlignment="1">
      <alignment horizontal="center" vertical="center" textRotation="90"/>
    </xf>
    <xf numFmtId="0" fontId="9" fillId="0" borderId="37" xfId="0" applyFont="1" applyBorder="1" applyAlignment="1">
      <alignment horizontal="center" vertical="center"/>
    </xf>
    <xf numFmtId="0" fontId="9" fillId="0" borderId="37" xfId="0" applyFont="1" applyBorder="1" applyAlignment="1">
      <alignment horizontal="left" vertical="center"/>
    </xf>
    <xf numFmtId="1" fontId="9" fillId="0" borderId="37" xfId="0" applyNumberFormat="1" applyFont="1" applyBorder="1" applyAlignment="1">
      <alignment horizontal="center" vertical="center"/>
    </xf>
    <xf numFmtId="0" fontId="11" fillId="0" borderId="38" xfId="2" applyFont="1" applyBorder="1" applyAlignment="1">
      <alignment horizontal="center" vertical="center"/>
    </xf>
    <xf numFmtId="0" fontId="11" fillId="0" borderId="42" xfId="2" applyFont="1" applyBorder="1" applyAlignment="1">
      <alignment horizontal="center" vertical="center"/>
    </xf>
    <xf numFmtId="1" fontId="11" fillId="0" borderId="38" xfId="2" applyNumberFormat="1" applyFont="1" applyBorder="1" applyAlignment="1">
      <alignment horizontal="center" vertical="center"/>
    </xf>
    <xf numFmtId="164" fontId="11" fillId="0" borderId="38" xfId="2" applyNumberFormat="1" applyFont="1" applyBorder="1" applyAlignment="1">
      <alignment horizontal="center" vertical="center"/>
    </xf>
    <xf numFmtId="164" fontId="9" fillId="0" borderId="38" xfId="0" applyNumberFormat="1" applyFont="1" applyBorder="1" applyAlignment="1">
      <alignment horizontal="center" vertical="center"/>
    </xf>
    <xf numFmtId="0" fontId="11" fillId="0" borderId="44" xfId="2" applyFont="1" applyBorder="1" applyAlignment="1">
      <alignment horizontal="center" vertical="center"/>
    </xf>
    <xf numFmtId="0" fontId="11" fillId="0" borderId="45" xfId="2" applyFont="1" applyBorder="1" applyAlignment="1">
      <alignment horizontal="center" vertical="center"/>
    </xf>
    <xf numFmtId="1" fontId="11" fillId="0" borderId="44" xfId="2" applyNumberFormat="1" applyFont="1" applyBorder="1" applyAlignment="1">
      <alignment horizontal="center" vertical="center"/>
    </xf>
    <xf numFmtId="164" fontId="11" fillId="0" borderId="44" xfId="2" applyNumberFormat="1" applyFont="1" applyBorder="1" applyAlignment="1">
      <alignment horizontal="center" vertical="center"/>
    </xf>
    <xf numFmtId="164" fontId="9" fillId="0" borderId="44" xfId="0" applyNumberFormat="1" applyFont="1" applyBorder="1" applyAlignment="1">
      <alignment horizontal="center" vertical="center"/>
    </xf>
    <xf numFmtId="0" fontId="11" fillId="0" borderId="46" xfId="2" applyFont="1" applyBorder="1" applyAlignment="1">
      <alignment horizontal="center" vertical="center"/>
    </xf>
    <xf numFmtId="0" fontId="11" fillId="0" borderId="47" xfId="2" applyFont="1" applyBorder="1" applyAlignment="1">
      <alignment horizontal="center" vertical="center"/>
    </xf>
    <xf numFmtId="1" fontId="11" fillId="0" borderId="46" xfId="2" applyNumberFormat="1" applyFont="1" applyBorder="1" applyAlignment="1">
      <alignment horizontal="center" vertical="center"/>
    </xf>
    <xf numFmtId="164" fontId="11" fillId="0" borderId="46" xfId="2" applyNumberFormat="1" applyFont="1" applyBorder="1" applyAlignment="1">
      <alignment horizontal="center" vertical="center"/>
    </xf>
    <xf numFmtId="164" fontId="9" fillId="0" borderId="46" xfId="0" applyNumberFormat="1" applyFont="1" applyBorder="1" applyAlignment="1">
      <alignment horizontal="center" vertical="center"/>
    </xf>
    <xf numFmtId="14" fontId="9" fillId="0" borderId="49" xfId="0" applyNumberFormat="1" applyFont="1" applyBorder="1" applyAlignment="1">
      <alignment horizontal="left" vertical="center"/>
    </xf>
    <xf numFmtId="1" fontId="5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164" fontId="9" fillId="0" borderId="53" xfId="0" applyNumberFormat="1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3" borderId="0" xfId="0" applyFill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 textRotation="90"/>
    </xf>
    <xf numFmtId="0" fontId="6" fillId="5" borderId="0" xfId="0" applyFont="1" applyFill="1" applyAlignment="1">
      <alignment horizontal="left" vertical="center"/>
    </xf>
    <xf numFmtId="1" fontId="6" fillId="5" borderId="0" xfId="0" applyNumberFormat="1" applyFont="1" applyFill="1" applyAlignment="1">
      <alignment horizontal="center" vertical="center"/>
    </xf>
    <xf numFmtId="0" fontId="14" fillId="0" borderId="59" xfId="0" applyFont="1" applyBorder="1" applyAlignment="1">
      <alignment horizontal="center" vertical="center" textRotation="90"/>
    </xf>
    <xf numFmtId="0" fontId="6" fillId="0" borderId="59" xfId="0" applyFont="1" applyBorder="1" applyAlignment="1">
      <alignment horizontal="center" vertical="center"/>
    </xf>
    <xf numFmtId="0" fontId="6" fillId="0" borderId="59" xfId="0" applyFont="1" applyBorder="1" applyAlignment="1">
      <alignment horizontal="left" vertical="center"/>
    </xf>
    <xf numFmtId="1" fontId="6" fillId="0" borderId="59" xfId="0" applyNumberFormat="1" applyFont="1" applyBorder="1" applyAlignment="1">
      <alignment horizontal="center" vertical="center"/>
    </xf>
    <xf numFmtId="0" fontId="6" fillId="0" borderId="60" xfId="0" applyFont="1" applyBorder="1" applyAlignment="1">
      <alignment horizontal="center" vertical="center"/>
    </xf>
    <xf numFmtId="0" fontId="6" fillId="0" borderId="61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14" fillId="0" borderId="66" xfId="0" applyFont="1" applyBorder="1" applyAlignment="1">
      <alignment horizontal="center" vertical="center" textRotation="90"/>
    </xf>
    <xf numFmtId="0" fontId="6" fillId="0" borderId="66" xfId="0" applyFont="1" applyBorder="1" applyAlignment="1">
      <alignment horizontal="center" vertical="center"/>
    </xf>
    <xf numFmtId="0" fontId="6" fillId="0" borderId="66" xfId="0" applyFont="1" applyBorder="1" applyAlignment="1">
      <alignment horizontal="left" vertical="center"/>
    </xf>
    <xf numFmtId="1" fontId="6" fillId="0" borderId="66" xfId="0" applyNumberFormat="1" applyFont="1" applyBorder="1" applyAlignment="1">
      <alignment horizontal="center" vertical="center"/>
    </xf>
    <xf numFmtId="0" fontId="6" fillId="0" borderId="67" xfId="0" applyFont="1" applyBorder="1" applyAlignment="1">
      <alignment horizontal="center" vertical="center"/>
    </xf>
    <xf numFmtId="0" fontId="11" fillId="0" borderId="45" xfId="1" applyNumberFormat="1" applyFont="1" applyBorder="1" applyAlignment="1">
      <alignment horizontal="left" vertical="center"/>
    </xf>
    <xf numFmtId="0" fontId="11" fillId="0" borderId="54" xfId="1" applyNumberFormat="1" applyFont="1" applyBorder="1" applyAlignment="1">
      <alignment horizontal="left" vertical="center"/>
    </xf>
    <xf numFmtId="15" fontId="13" fillId="0" borderId="0" xfId="0" applyNumberFormat="1" applyFont="1" applyAlignment="1">
      <alignment horizontal="left" vertical="top" indent="1"/>
    </xf>
    <xf numFmtId="0" fontId="5" fillId="0" borderId="61" xfId="0" applyFont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65" fontId="2" fillId="7" borderId="10" xfId="0" applyNumberFormat="1" applyFont="1" applyFill="1" applyBorder="1" applyAlignment="1" applyProtection="1">
      <alignment horizontal="center" vertical="center"/>
      <protection locked="0"/>
    </xf>
    <xf numFmtId="165" fontId="2" fillId="7" borderId="11" xfId="0" applyNumberFormat="1" applyFont="1" applyFill="1" applyBorder="1" applyAlignment="1" applyProtection="1">
      <alignment horizontal="center" vertical="center"/>
      <protection locked="0"/>
    </xf>
    <xf numFmtId="165" fontId="2" fillId="7" borderId="68" xfId="0" applyNumberFormat="1" applyFont="1" applyFill="1" applyBorder="1" applyAlignment="1" applyProtection="1">
      <alignment horizontal="center" vertical="center"/>
      <protection locked="0"/>
    </xf>
    <xf numFmtId="0" fontId="10" fillId="0" borderId="48" xfId="0" applyFont="1" applyBorder="1" applyAlignment="1">
      <alignment horizontal="right" vertical="center"/>
    </xf>
    <xf numFmtId="0" fontId="9" fillId="0" borderId="31" xfId="0" applyFont="1" applyBorder="1" applyAlignment="1">
      <alignment horizontal="left" vertical="center" indent="1"/>
    </xf>
    <xf numFmtId="0" fontId="17" fillId="0" borderId="61" xfId="0" applyFont="1" applyBorder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9" fillId="0" borderId="48" xfId="0" applyFont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1" fillId="0" borderId="45" xfId="1" applyNumberFormat="1" applyFont="1" applyBorder="1" applyAlignment="1">
      <alignment horizontal="left" vertical="center"/>
    </xf>
    <xf numFmtId="0" fontId="11" fillId="0" borderId="54" xfId="1" applyNumberFormat="1" applyFont="1" applyBorder="1" applyAlignment="1">
      <alignment horizontal="left" vertical="center"/>
    </xf>
    <xf numFmtId="0" fontId="11" fillId="0" borderId="47" xfId="1" applyNumberFormat="1" applyFont="1" applyBorder="1" applyAlignment="1">
      <alignment horizontal="left" vertical="center"/>
    </xf>
    <xf numFmtId="0" fontId="11" fillId="0" borderId="55" xfId="1" applyNumberFormat="1" applyFont="1" applyBorder="1" applyAlignment="1">
      <alignment horizontal="left" vertical="center"/>
    </xf>
    <xf numFmtId="0" fontId="11" fillId="0" borderId="42" xfId="1" applyNumberFormat="1" applyFont="1" applyBorder="1" applyAlignment="1">
      <alignment horizontal="left" vertical="center"/>
    </xf>
    <xf numFmtId="0" fontId="11" fillId="0" borderId="49" xfId="1" applyNumberFormat="1" applyFon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11" fillId="0" borderId="1" xfId="2" applyFont="1" applyBorder="1" applyAlignment="1">
      <alignment horizontal="center" vertical="center"/>
    </xf>
    <xf numFmtId="0" fontId="11" fillId="0" borderId="27" xfId="2" applyFont="1" applyBorder="1" applyAlignment="1">
      <alignment horizontal="center" vertical="center"/>
    </xf>
    <xf numFmtId="0" fontId="11" fillId="0" borderId="28" xfId="2" applyFont="1" applyBorder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1" fillId="0" borderId="29" xfId="2" applyFont="1" applyBorder="1" applyAlignment="1">
      <alignment horizontal="center" vertical="center"/>
    </xf>
    <xf numFmtId="0" fontId="11" fillId="0" borderId="30" xfId="2" applyFont="1" applyBorder="1" applyAlignment="1">
      <alignment horizontal="center" vertical="center"/>
    </xf>
    <xf numFmtId="0" fontId="11" fillId="0" borderId="2" xfId="2" applyFont="1" applyBorder="1" applyAlignment="1">
      <alignment horizontal="center" vertical="center"/>
    </xf>
    <xf numFmtId="0" fontId="11" fillId="0" borderId="31" xfId="2" applyFont="1" applyBorder="1" applyAlignment="1">
      <alignment horizontal="center" vertical="center"/>
    </xf>
    <xf numFmtId="0" fontId="10" fillId="2" borderId="32" xfId="1" applyNumberFormat="1" applyFont="1" applyFill="1" applyBorder="1" applyAlignment="1">
      <alignment horizontal="left" vertical="center"/>
    </xf>
    <xf numFmtId="0" fontId="10" fillId="2" borderId="37" xfId="1" applyNumberFormat="1" applyFont="1" applyFill="1" applyBorder="1" applyAlignment="1">
      <alignment horizontal="left" vertical="center"/>
    </xf>
    <xf numFmtId="0" fontId="8" fillId="2" borderId="42" xfId="0" applyFont="1" applyFill="1" applyBorder="1" applyAlignment="1">
      <alignment horizontal="center" vertical="center"/>
    </xf>
    <xf numFmtId="0" fontId="8" fillId="2" borderId="43" xfId="0" applyFont="1" applyFill="1" applyBorder="1" applyAlignment="1">
      <alignment horizontal="center" vertical="center"/>
    </xf>
    <xf numFmtId="0" fontId="8" fillId="2" borderId="49" xfId="0" applyFont="1" applyFill="1" applyBorder="1" applyAlignment="1">
      <alignment horizontal="center" vertical="center"/>
    </xf>
    <xf numFmtId="164" fontId="8" fillId="2" borderId="30" xfId="0" applyNumberFormat="1" applyFont="1" applyFill="1" applyBorder="1" applyAlignment="1">
      <alignment horizontal="center" vertical="center"/>
    </xf>
    <xf numFmtId="164" fontId="8" fillId="2" borderId="2" xfId="0" applyNumberFormat="1" applyFont="1" applyFill="1" applyBorder="1" applyAlignment="1">
      <alignment horizontal="center" vertical="center"/>
    </xf>
    <xf numFmtId="164" fontId="8" fillId="2" borderId="31" xfId="0" applyNumberFormat="1" applyFont="1" applyFill="1" applyBorder="1" applyAlignment="1">
      <alignment horizontal="center" vertical="center"/>
    </xf>
    <xf numFmtId="0" fontId="10" fillId="2" borderId="42" xfId="1" applyNumberFormat="1" applyFont="1" applyFill="1" applyBorder="1" applyAlignment="1">
      <alignment horizontal="right" vertical="center" indent="1"/>
    </xf>
    <xf numFmtId="0" fontId="10" fillId="2" borderId="43" xfId="1" applyNumberFormat="1" applyFont="1" applyFill="1" applyBorder="1" applyAlignment="1">
      <alignment horizontal="right" vertical="center" indent="1"/>
    </xf>
    <xf numFmtId="0" fontId="10" fillId="2" borderId="30" xfId="1" applyNumberFormat="1" applyFont="1" applyFill="1" applyBorder="1" applyAlignment="1">
      <alignment horizontal="right" vertical="center" indent="1"/>
    </xf>
    <xf numFmtId="0" fontId="10" fillId="2" borderId="2" xfId="1" applyNumberFormat="1" applyFont="1" applyFill="1" applyBorder="1" applyAlignment="1">
      <alignment horizontal="right" vertical="center" indent="1"/>
    </xf>
    <xf numFmtId="0" fontId="9" fillId="0" borderId="26" xfId="0" applyFont="1" applyBorder="1" applyAlignment="1">
      <alignment horizontal="left" vertical="center" indent="1"/>
    </xf>
    <xf numFmtId="0" fontId="9" fillId="0" borderId="1" xfId="0" applyFont="1" applyBorder="1" applyAlignment="1">
      <alignment horizontal="left" vertical="center" indent="1"/>
    </xf>
    <xf numFmtId="0" fontId="9" fillId="0" borderId="27" xfId="0" applyFont="1" applyBorder="1" applyAlignment="1">
      <alignment horizontal="left" vertical="center" indent="1"/>
    </xf>
    <xf numFmtId="15" fontId="13" fillId="0" borderId="30" xfId="0" applyNumberFormat="1" applyFont="1" applyBorder="1" applyAlignment="1">
      <alignment horizontal="left" vertical="top" indent="1"/>
    </xf>
    <xf numFmtId="15" fontId="13" fillId="0" borderId="2" xfId="0" applyNumberFormat="1" applyFont="1" applyBorder="1" applyAlignment="1">
      <alignment horizontal="left" vertical="top" indent="1"/>
    </xf>
    <xf numFmtId="15" fontId="13" fillId="0" borderId="31" xfId="0" applyNumberFormat="1" applyFont="1" applyBorder="1" applyAlignment="1">
      <alignment horizontal="left" vertical="top" indent="1"/>
    </xf>
    <xf numFmtId="0" fontId="12" fillId="2" borderId="35" xfId="0" applyFont="1" applyFill="1" applyBorder="1" applyAlignment="1">
      <alignment horizontal="center" vertical="center" textRotation="90"/>
    </xf>
    <xf numFmtId="0" fontId="12" fillId="2" borderId="36" xfId="0" applyFont="1" applyFill="1" applyBorder="1" applyAlignment="1">
      <alignment horizontal="center" vertical="center" textRotation="90"/>
    </xf>
    <xf numFmtId="0" fontId="12" fillId="2" borderId="34" xfId="0" applyFont="1" applyFill="1" applyBorder="1" applyAlignment="1">
      <alignment horizontal="center" vertical="center" textRotation="90"/>
    </xf>
    <xf numFmtId="0" fontId="12" fillId="2" borderId="52" xfId="0" applyFont="1" applyFill="1" applyBorder="1" applyAlignment="1">
      <alignment horizontal="center" vertical="center" textRotation="90"/>
    </xf>
    <xf numFmtId="0" fontId="6" fillId="0" borderId="25" xfId="0" applyFont="1" applyBorder="1" applyAlignment="1">
      <alignment horizontal="center" vertical="center" wrapText="1"/>
    </xf>
    <xf numFmtId="0" fontId="6" fillId="0" borderId="38" xfId="0" applyFont="1" applyBorder="1" applyAlignment="1">
      <alignment horizontal="center" vertical="center" wrapText="1"/>
    </xf>
    <xf numFmtId="0" fontId="10" fillId="0" borderId="2" xfId="1" applyNumberFormat="1" applyFont="1" applyBorder="1" applyAlignment="1">
      <alignment horizontal="left" vertical="center" wrapText="1" indent="1"/>
    </xf>
    <xf numFmtId="0" fontId="10" fillId="0" borderId="43" xfId="1" applyNumberFormat="1" applyFont="1" applyBorder="1" applyAlignment="1">
      <alignment horizontal="left" vertical="center" wrapText="1" indent="1"/>
    </xf>
    <xf numFmtId="0" fontId="7" fillId="0" borderId="2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0" fontId="7" fillId="0" borderId="41" xfId="0" applyFont="1" applyBorder="1" applyAlignment="1">
      <alignment horizontal="center" vertical="center"/>
    </xf>
    <xf numFmtId="0" fontId="9" fillId="0" borderId="56" xfId="0" applyFont="1" applyBorder="1" applyAlignment="1">
      <alignment horizontal="center" vertical="center"/>
    </xf>
    <xf numFmtId="0" fontId="9" fillId="0" borderId="58" xfId="0" applyFont="1" applyBorder="1" applyAlignment="1">
      <alignment horizontal="center" vertical="center"/>
    </xf>
    <xf numFmtId="0" fontId="9" fillId="0" borderId="57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31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43" xfId="0" applyFont="1" applyBorder="1" applyAlignment="1">
      <alignment horizontal="left" vertical="center"/>
    </xf>
    <xf numFmtId="0" fontId="9" fillId="0" borderId="49" xfId="0" applyFont="1" applyBorder="1" applyAlignment="1">
      <alignment horizontal="left" vertical="center"/>
    </xf>
    <xf numFmtId="0" fontId="10" fillId="0" borderId="42" xfId="1" applyNumberFormat="1" applyFont="1" applyBorder="1" applyAlignment="1">
      <alignment horizontal="left" vertical="center" indent="1"/>
    </xf>
    <xf numFmtId="0" fontId="10" fillId="0" borderId="43" xfId="1" applyNumberFormat="1" applyFont="1" applyBorder="1" applyAlignment="1">
      <alignment horizontal="left" vertical="center" indent="1"/>
    </xf>
    <xf numFmtId="0" fontId="14" fillId="0" borderId="26" xfId="0" applyFont="1" applyBorder="1" applyAlignment="1">
      <alignment horizontal="center" vertical="center" textRotation="90"/>
    </xf>
    <xf numFmtId="0" fontId="14" fillId="0" borderId="27" xfId="0" applyFont="1" applyBorder="1" applyAlignment="1">
      <alignment horizontal="center" vertical="center" textRotation="90"/>
    </xf>
    <xf numFmtId="0" fontId="14" fillId="0" borderId="28" xfId="0" applyFont="1" applyBorder="1" applyAlignment="1">
      <alignment horizontal="center" vertical="center" textRotation="90"/>
    </xf>
    <xf numFmtId="0" fontId="14" fillId="0" borderId="29" xfId="0" applyFont="1" applyBorder="1" applyAlignment="1">
      <alignment horizontal="center" vertical="center" textRotation="90"/>
    </xf>
    <xf numFmtId="0" fontId="14" fillId="0" borderId="30" xfId="0" applyFont="1" applyBorder="1" applyAlignment="1">
      <alignment horizontal="center" vertical="center" textRotation="90"/>
    </xf>
    <xf numFmtId="0" fontId="14" fillId="0" borderId="31" xfId="0" applyFont="1" applyBorder="1" applyAlignment="1">
      <alignment horizontal="center" vertical="center" textRotation="90"/>
    </xf>
    <xf numFmtId="0" fontId="10" fillId="0" borderId="30" xfId="1" applyNumberFormat="1" applyFont="1" applyBorder="1" applyAlignment="1">
      <alignment horizontal="left" vertical="center" indent="1"/>
    </xf>
    <xf numFmtId="0" fontId="10" fillId="0" borderId="2" xfId="1" applyNumberFormat="1" applyFont="1" applyBorder="1" applyAlignment="1">
      <alignment horizontal="left" vertical="center" indent="1"/>
    </xf>
    <xf numFmtId="0" fontId="9" fillId="0" borderId="31" xfId="0" applyFont="1" applyBorder="1" applyAlignment="1">
      <alignment horizontal="center" vertical="center" wrapText="1"/>
    </xf>
    <xf numFmtId="0" fontId="9" fillId="0" borderId="33" xfId="0" applyFont="1" applyBorder="1" applyAlignment="1">
      <alignment horizontal="center" vertical="center" wrapText="1"/>
    </xf>
    <xf numFmtId="0" fontId="9" fillId="0" borderId="46" xfId="0" applyFont="1" applyBorder="1" applyAlignment="1">
      <alignment horizontal="center" vertical="center" wrapText="1"/>
    </xf>
    <xf numFmtId="0" fontId="9" fillId="0" borderId="50" xfId="0" applyFont="1" applyBorder="1" applyAlignment="1">
      <alignment horizontal="center" vertical="center" wrapText="1"/>
    </xf>
    <xf numFmtId="0" fontId="9" fillId="0" borderId="25" xfId="0" applyFont="1" applyBorder="1" applyAlignment="1">
      <alignment horizontal="center" vertical="center" wrapText="1"/>
    </xf>
    <xf numFmtId="0" fontId="9" fillId="0" borderId="51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</cellXfs>
  <cellStyles count="3">
    <cellStyle name="Moneda" xfId="1" builtinId="4"/>
    <cellStyle name="Normal" xfId="0" builtinId="0"/>
    <cellStyle name="Normal 2" xfId="2" xr:uid="{00000000-0005-0000-0000-000002000000}"/>
  </cellStyles>
  <dxfs count="8">
    <dxf>
      <font>
        <color rgb="FFFF0000"/>
      </font>
    </dxf>
    <dxf>
      <font>
        <color rgb="FFFFB3B3"/>
      </font>
      <fill>
        <patternFill>
          <bgColor rgb="FFFFB3B3"/>
        </patternFill>
      </fill>
    </dxf>
    <dxf>
      <fill>
        <patternFill>
          <bgColor rgb="FFFFBDBD"/>
        </patternFill>
      </fill>
    </dxf>
    <dxf>
      <font>
        <color rgb="FFC00000"/>
      </font>
      <fill>
        <patternFill>
          <bgColor rgb="FFFFB7B7"/>
        </patternFill>
      </fill>
    </dxf>
    <dxf>
      <fill>
        <patternFill>
          <bgColor rgb="FFFFBDBD"/>
        </patternFill>
      </fill>
    </dxf>
    <dxf>
      <fill>
        <patternFill>
          <bgColor rgb="FFFFC1C1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DAE9F8"/>
      <color rgb="FF6BA5DF"/>
      <color rgb="FF679CE3"/>
      <color rgb="FF0A74BD"/>
      <color rgb="FFFFB3B3"/>
      <color rgb="FFFFBDBD"/>
      <color rgb="FFFFB7B7"/>
      <color rgb="FFFAAAAA"/>
      <color rgb="FFE8E8E8"/>
      <color rgb="FFDCDC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658534</xdr:colOff>
      <xdr:row>20</xdr:row>
      <xdr:rowOff>14243</xdr:rowOff>
    </xdr:from>
    <xdr:to>
      <xdr:col>10</xdr:col>
      <xdr:colOff>323850</xdr:colOff>
      <xdr:row>68</xdr:row>
      <xdr:rowOff>19050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462BC81-94C7-42F2-82A6-38EB391EC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58834" y="4262393"/>
          <a:ext cx="5742266" cy="8234407"/>
        </a:xfrm>
        <a:prstGeom prst="rect">
          <a:avLst/>
        </a:prstGeom>
      </xdr:spPr>
    </xdr:pic>
    <xdr:clientData/>
  </xdr:twoCellAnchor>
  <xdr:twoCellAnchor editAs="oneCell">
    <xdr:from>
      <xdr:col>2</xdr:col>
      <xdr:colOff>194053</xdr:colOff>
      <xdr:row>2</xdr:row>
      <xdr:rowOff>37348</xdr:rowOff>
    </xdr:from>
    <xdr:to>
      <xdr:col>3</xdr:col>
      <xdr:colOff>304506</xdr:colOff>
      <xdr:row>5</xdr:row>
      <xdr:rowOff>108131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4220151-59CB-45EF-9D51-C6844D225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968" y="228179"/>
          <a:ext cx="320366" cy="528783"/>
        </a:xfrm>
        <a:prstGeom prst="rect">
          <a:avLst/>
        </a:prstGeom>
      </xdr:spPr>
    </xdr:pic>
    <xdr:clientData/>
  </xdr:twoCellAnchor>
  <xdr:twoCellAnchor>
    <xdr:from>
      <xdr:col>1</xdr:col>
      <xdr:colOff>11253</xdr:colOff>
      <xdr:row>0</xdr:row>
      <xdr:rowOff>0</xdr:rowOff>
    </xdr:from>
    <xdr:to>
      <xdr:col>13</xdr:col>
      <xdr:colOff>33130</xdr:colOff>
      <xdr:row>0</xdr:row>
      <xdr:rowOff>556590</xdr:rowOff>
    </xdr:to>
    <xdr:sp macro="" textlink="">
      <xdr:nvSpPr>
        <xdr:cNvPr id="1333" name="Forma libre: forma 1332">
          <a:extLst>
            <a:ext uri="{FF2B5EF4-FFF2-40B4-BE49-F238E27FC236}">
              <a16:creationId xmlns:a16="http://schemas.microsoft.com/office/drawing/2014/main" id="{065CE8C8-D6EA-803A-DAE9-4870A9F38CF0}"/>
            </a:ext>
          </a:extLst>
        </xdr:cNvPr>
        <xdr:cNvSpPr/>
      </xdr:nvSpPr>
      <xdr:spPr>
        <a:xfrm flipV="1">
          <a:off x="1462366" y="0"/>
          <a:ext cx="8569529" cy="556590"/>
        </a:xfrm>
        <a:custGeom>
          <a:avLst/>
          <a:gdLst>
            <a:gd name="connsiteX0" fmla="*/ 7010626 w 8041479"/>
            <a:gd name="connsiteY0" fmla="*/ 322872 h 619188"/>
            <a:gd name="connsiteX1" fmla="*/ 6797421 w 8041479"/>
            <a:gd name="connsiteY1" fmla="*/ 234559 h 619188"/>
            <a:gd name="connsiteX2" fmla="*/ 6742835 w 8041479"/>
            <a:gd name="connsiteY2" fmla="*/ 153598 h 619188"/>
            <a:gd name="connsiteX3" fmla="*/ 6744499 w 8041479"/>
            <a:gd name="connsiteY3" fmla="*/ 158958 h 619188"/>
            <a:gd name="connsiteX4" fmla="*/ 6690125 w 8041479"/>
            <a:gd name="connsiteY4" fmla="*/ 78310 h 619188"/>
            <a:gd name="connsiteX5" fmla="*/ 6605138 w 8041479"/>
            <a:gd name="connsiteY5" fmla="*/ 21012 h 619188"/>
            <a:gd name="connsiteX6" fmla="*/ 6501070 w 8041479"/>
            <a:gd name="connsiteY6" fmla="*/ 1 h 619188"/>
            <a:gd name="connsiteX7" fmla="*/ 6713419 w 8041479"/>
            <a:gd name="connsiteY7" fmla="*/ 1 h 619188"/>
            <a:gd name="connsiteX8" fmla="*/ 6723954 w 8041479"/>
            <a:gd name="connsiteY8" fmla="*/ 1 h 619188"/>
            <a:gd name="connsiteX9" fmla="*/ 7297300 w 8041479"/>
            <a:gd name="connsiteY9" fmla="*/ 1 h 619188"/>
            <a:gd name="connsiteX10" fmla="*/ 7307833 w 8041479"/>
            <a:gd name="connsiteY10" fmla="*/ 1 h 619188"/>
            <a:gd name="connsiteX11" fmla="*/ 7520184 w 8041479"/>
            <a:gd name="connsiteY11" fmla="*/ 1 h 619188"/>
            <a:gd name="connsiteX12" fmla="*/ 7416116 w 8041479"/>
            <a:gd name="connsiteY12" fmla="*/ 21012 h 619188"/>
            <a:gd name="connsiteX13" fmla="*/ 7331129 w 8041479"/>
            <a:gd name="connsiteY13" fmla="*/ 78310 h 619188"/>
            <a:gd name="connsiteX14" fmla="*/ 7276755 w 8041479"/>
            <a:gd name="connsiteY14" fmla="*/ 158958 h 619188"/>
            <a:gd name="connsiteX15" fmla="*/ 7278421 w 8041479"/>
            <a:gd name="connsiteY15" fmla="*/ 153593 h 619188"/>
            <a:gd name="connsiteX16" fmla="*/ 7223831 w 8041479"/>
            <a:gd name="connsiteY16" fmla="*/ 234559 h 619188"/>
            <a:gd name="connsiteX17" fmla="*/ 7010626 w 8041479"/>
            <a:gd name="connsiteY17" fmla="*/ 322872 h 619188"/>
            <a:gd name="connsiteX18" fmla="*/ 5810985 w 8041479"/>
            <a:gd name="connsiteY18" fmla="*/ 322872 h 619188"/>
            <a:gd name="connsiteX19" fmla="*/ 5597781 w 8041479"/>
            <a:gd name="connsiteY19" fmla="*/ 234559 h 619188"/>
            <a:gd name="connsiteX20" fmla="*/ 5543194 w 8041479"/>
            <a:gd name="connsiteY20" fmla="*/ 153598 h 619188"/>
            <a:gd name="connsiteX21" fmla="*/ 5544858 w 8041479"/>
            <a:gd name="connsiteY21" fmla="*/ 158958 h 619188"/>
            <a:gd name="connsiteX22" fmla="*/ 5490484 w 8041479"/>
            <a:gd name="connsiteY22" fmla="*/ 78310 h 619188"/>
            <a:gd name="connsiteX23" fmla="*/ 5405497 w 8041479"/>
            <a:gd name="connsiteY23" fmla="*/ 21012 h 619188"/>
            <a:gd name="connsiteX24" fmla="*/ 5301429 w 8041479"/>
            <a:gd name="connsiteY24" fmla="*/ 1 h 619188"/>
            <a:gd name="connsiteX25" fmla="*/ 5513778 w 8041479"/>
            <a:gd name="connsiteY25" fmla="*/ 1 h 619188"/>
            <a:gd name="connsiteX26" fmla="*/ 5524313 w 8041479"/>
            <a:gd name="connsiteY26" fmla="*/ 1 h 619188"/>
            <a:gd name="connsiteX27" fmla="*/ 6097659 w 8041479"/>
            <a:gd name="connsiteY27" fmla="*/ 1 h 619188"/>
            <a:gd name="connsiteX28" fmla="*/ 6108193 w 8041479"/>
            <a:gd name="connsiteY28" fmla="*/ 1 h 619188"/>
            <a:gd name="connsiteX29" fmla="*/ 6320543 w 8041479"/>
            <a:gd name="connsiteY29" fmla="*/ 1 h 619188"/>
            <a:gd name="connsiteX30" fmla="*/ 6216476 w 8041479"/>
            <a:gd name="connsiteY30" fmla="*/ 21012 h 619188"/>
            <a:gd name="connsiteX31" fmla="*/ 6131488 w 8041479"/>
            <a:gd name="connsiteY31" fmla="*/ 78310 h 619188"/>
            <a:gd name="connsiteX32" fmla="*/ 6077114 w 8041479"/>
            <a:gd name="connsiteY32" fmla="*/ 158958 h 619188"/>
            <a:gd name="connsiteX33" fmla="*/ 6078780 w 8041479"/>
            <a:gd name="connsiteY33" fmla="*/ 153593 h 619188"/>
            <a:gd name="connsiteX34" fmla="*/ 6024190 w 8041479"/>
            <a:gd name="connsiteY34" fmla="*/ 234559 h 619188"/>
            <a:gd name="connsiteX35" fmla="*/ 5810985 w 8041479"/>
            <a:gd name="connsiteY35" fmla="*/ 322872 h 619188"/>
            <a:gd name="connsiteX36" fmla="*/ 4611346 w 8041479"/>
            <a:gd name="connsiteY36" fmla="*/ 322872 h 619188"/>
            <a:gd name="connsiteX37" fmla="*/ 4398142 w 8041479"/>
            <a:gd name="connsiteY37" fmla="*/ 234559 h 619188"/>
            <a:gd name="connsiteX38" fmla="*/ 4343555 w 8041479"/>
            <a:gd name="connsiteY38" fmla="*/ 153598 h 619188"/>
            <a:gd name="connsiteX39" fmla="*/ 4345219 w 8041479"/>
            <a:gd name="connsiteY39" fmla="*/ 158958 h 619188"/>
            <a:gd name="connsiteX40" fmla="*/ 4290845 w 8041479"/>
            <a:gd name="connsiteY40" fmla="*/ 78310 h 619188"/>
            <a:gd name="connsiteX41" fmla="*/ 4205858 w 8041479"/>
            <a:gd name="connsiteY41" fmla="*/ 21012 h 619188"/>
            <a:gd name="connsiteX42" fmla="*/ 4101790 w 8041479"/>
            <a:gd name="connsiteY42" fmla="*/ 1 h 619188"/>
            <a:gd name="connsiteX43" fmla="*/ 4314139 w 8041479"/>
            <a:gd name="connsiteY43" fmla="*/ 1 h 619188"/>
            <a:gd name="connsiteX44" fmla="*/ 4324674 w 8041479"/>
            <a:gd name="connsiteY44" fmla="*/ 1 h 619188"/>
            <a:gd name="connsiteX45" fmla="*/ 4898020 w 8041479"/>
            <a:gd name="connsiteY45" fmla="*/ 1 h 619188"/>
            <a:gd name="connsiteX46" fmla="*/ 4908554 w 8041479"/>
            <a:gd name="connsiteY46" fmla="*/ 1 h 619188"/>
            <a:gd name="connsiteX47" fmla="*/ 5120904 w 8041479"/>
            <a:gd name="connsiteY47" fmla="*/ 1 h 619188"/>
            <a:gd name="connsiteX48" fmla="*/ 5016837 w 8041479"/>
            <a:gd name="connsiteY48" fmla="*/ 21012 h 619188"/>
            <a:gd name="connsiteX49" fmla="*/ 4931849 w 8041479"/>
            <a:gd name="connsiteY49" fmla="*/ 78310 h 619188"/>
            <a:gd name="connsiteX50" fmla="*/ 4877475 w 8041479"/>
            <a:gd name="connsiteY50" fmla="*/ 158958 h 619188"/>
            <a:gd name="connsiteX51" fmla="*/ 4879141 w 8041479"/>
            <a:gd name="connsiteY51" fmla="*/ 153593 h 619188"/>
            <a:gd name="connsiteX52" fmla="*/ 4824551 w 8041479"/>
            <a:gd name="connsiteY52" fmla="*/ 234559 h 619188"/>
            <a:gd name="connsiteX53" fmla="*/ 4611346 w 8041479"/>
            <a:gd name="connsiteY53" fmla="*/ 322872 h 619188"/>
            <a:gd name="connsiteX54" fmla="*/ 3411707 w 8041479"/>
            <a:gd name="connsiteY54" fmla="*/ 322872 h 619188"/>
            <a:gd name="connsiteX55" fmla="*/ 3198503 w 8041479"/>
            <a:gd name="connsiteY55" fmla="*/ 234559 h 619188"/>
            <a:gd name="connsiteX56" fmla="*/ 3143916 w 8041479"/>
            <a:gd name="connsiteY56" fmla="*/ 153598 h 619188"/>
            <a:gd name="connsiteX57" fmla="*/ 3145580 w 8041479"/>
            <a:gd name="connsiteY57" fmla="*/ 158958 h 619188"/>
            <a:gd name="connsiteX58" fmla="*/ 3091206 w 8041479"/>
            <a:gd name="connsiteY58" fmla="*/ 78310 h 619188"/>
            <a:gd name="connsiteX59" fmla="*/ 3006219 w 8041479"/>
            <a:gd name="connsiteY59" fmla="*/ 21012 h 619188"/>
            <a:gd name="connsiteX60" fmla="*/ 2902151 w 8041479"/>
            <a:gd name="connsiteY60" fmla="*/ 1 h 619188"/>
            <a:gd name="connsiteX61" fmla="*/ 3114500 w 8041479"/>
            <a:gd name="connsiteY61" fmla="*/ 1 h 619188"/>
            <a:gd name="connsiteX62" fmla="*/ 3125035 w 8041479"/>
            <a:gd name="connsiteY62" fmla="*/ 1 h 619188"/>
            <a:gd name="connsiteX63" fmla="*/ 3698381 w 8041479"/>
            <a:gd name="connsiteY63" fmla="*/ 1 h 619188"/>
            <a:gd name="connsiteX64" fmla="*/ 3708915 w 8041479"/>
            <a:gd name="connsiteY64" fmla="*/ 1 h 619188"/>
            <a:gd name="connsiteX65" fmla="*/ 3921265 w 8041479"/>
            <a:gd name="connsiteY65" fmla="*/ 1 h 619188"/>
            <a:gd name="connsiteX66" fmla="*/ 3817198 w 8041479"/>
            <a:gd name="connsiteY66" fmla="*/ 21012 h 619188"/>
            <a:gd name="connsiteX67" fmla="*/ 3732210 w 8041479"/>
            <a:gd name="connsiteY67" fmla="*/ 78310 h 619188"/>
            <a:gd name="connsiteX68" fmla="*/ 3677836 w 8041479"/>
            <a:gd name="connsiteY68" fmla="*/ 158958 h 619188"/>
            <a:gd name="connsiteX69" fmla="*/ 3679502 w 8041479"/>
            <a:gd name="connsiteY69" fmla="*/ 153593 h 619188"/>
            <a:gd name="connsiteX70" fmla="*/ 3624912 w 8041479"/>
            <a:gd name="connsiteY70" fmla="*/ 234559 h 619188"/>
            <a:gd name="connsiteX71" fmla="*/ 3411707 w 8041479"/>
            <a:gd name="connsiteY71" fmla="*/ 322872 h 619188"/>
            <a:gd name="connsiteX72" fmla="*/ 2212068 w 8041479"/>
            <a:gd name="connsiteY72" fmla="*/ 322872 h 619188"/>
            <a:gd name="connsiteX73" fmla="*/ 1998864 w 8041479"/>
            <a:gd name="connsiteY73" fmla="*/ 234559 h 619188"/>
            <a:gd name="connsiteX74" fmla="*/ 1944278 w 8041479"/>
            <a:gd name="connsiteY74" fmla="*/ 153598 h 619188"/>
            <a:gd name="connsiteX75" fmla="*/ 1945942 w 8041479"/>
            <a:gd name="connsiteY75" fmla="*/ 158958 h 619188"/>
            <a:gd name="connsiteX76" fmla="*/ 1891568 w 8041479"/>
            <a:gd name="connsiteY76" fmla="*/ 78310 h 619188"/>
            <a:gd name="connsiteX77" fmla="*/ 1806580 w 8041479"/>
            <a:gd name="connsiteY77" fmla="*/ 21012 h 619188"/>
            <a:gd name="connsiteX78" fmla="*/ 1702512 w 8041479"/>
            <a:gd name="connsiteY78" fmla="*/ 1 h 619188"/>
            <a:gd name="connsiteX79" fmla="*/ 1914861 w 8041479"/>
            <a:gd name="connsiteY79" fmla="*/ 1 h 619188"/>
            <a:gd name="connsiteX80" fmla="*/ 1925397 w 8041479"/>
            <a:gd name="connsiteY80" fmla="*/ 1 h 619188"/>
            <a:gd name="connsiteX81" fmla="*/ 2498742 w 8041479"/>
            <a:gd name="connsiteY81" fmla="*/ 1 h 619188"/>
            <a:gd name="connsiteX82" fmla="*/ 2509276 w 8041479"/>
            <a:gd name="connsiteY82" fmla="*/ 1 h 619188"/>
            <a:gd name="connsiteX83" fmla="*/ 2721626 w 8041479"/>
            <a:gd name="connsiteY83" fmla="*/ 1 h 619188"/>
            <a:gd name="connsiteX84" fmla="*/ 2617559 w 8041479"/>
            <a:gd name="connsiteY84" fmla="*/ 21012 h 619188"/>
            <a:gd name="connsiteX85" fmla="*/ 2532571 w 8041479"/>
            <a:gd name="connsiteY85" fmla="*/ 78310 h 619188"/>
            <a:gd name="connsiteX86" fmla="*/ 2478197 w 8041479"/>
            <a:gd name="connsiteY86" fmla="*/ 158958 h 619188"/>
            <a:gd name="connsiteX87" fmla="*/ 2479863 w 8041479"/>
            <a:gd name="connsiteY87" fmla="*/ 153593 h 619188"/>
            <a:gd name="connsiteX88" fmla="*/ 2425273 w 8041479"/>
            <a:gd name="connsiteY88" fmla="*/ 234559 h 619188"/>
            <a:gd name="connsiteX89" fmla="*/ 2212068 w 8041479"/>
            <a:gd name="connsiteY89" fmla="*/ 322872 h 619188"/>
            <a:gd name="connsiteX90" fmla="*/ 1012430 w 8041479"/>
            <a:gd name="connsiteY90" fmla="*/ 322872 h 619188"/>
            <a:gd name="connsiteX91" fmla="*/ 799225 w 8041479"/>
            <a:gd name="connsiteY91" fmla="*/ 234559 h 619188"/>
            <a:gd name="connsiteX92" fmla="*/ 744639 w 8041479"/>
            <a:gd name="connsiteY92" fmla="*/ 153598 h 619188"/>
            <a:gd name="connsiteX93" fmla="*/ 746303 w 8041479"/>
            <a:gd name="connsiteY93" fmla="*/ 158958 h 619188"/>
            <a:gd name="connsiteX94" fmla="*/ 691929 w 8041479"/>
            <a:gd name="connsiteY94" fmla="*/ 78310 h 619188"/>
            <a:gd name="connsiteX95" fmla="*/ 606942 w 8041479"/>
            <a:gd name="connsiteY95" fmla="*/ 21012 h 619188"/>
            <a:gd name="connsiteX96" fmla="*/ 502874 w 8041479"/>
            <a:gd name="connsiteY96" fmla="*/ 1 h 619188"/>
            <a:gd name="connsiteX97" fmla="*/ 715223 w 8041479"/>
            <a:gd name="connsiteY97" fmla="*/ 1 h 619188"/>
            <a:gd name="connsiteX98" fmla="*/ 725758 w 8041479"/>
            <a:gd name="connsiteY98" fmla="*/ 1 h 619188"/>
            <a:gd name="connsiteX99" fmla="*/ 1299104 w 8041479"/>
            <a:gd name="connsiteY99" fmla="*/ 1 h 619188"/>
            <a:gd name="connsiteX100" fmla="*/ 1309638 w 8041479"/>
            <a:gd name="connsiteY100" fmla="*/ 1 h 619188"/>
            <a:gd name="connsiteX101" fmla="*/ 1521988 w 8041479"/>
            <a:gd name="connsiteY101" fmla="*/ 1 h 619188"/>
            <a:gd name="connsiteX102" fmla="*/ 1417921 w 8041479"/>
            <a:gd name="connsiteY102" fmla="*/ 21012 h 619188"/>
            <a:gd name="connsiteX103" fmla="*/ 1332933 w 8041479"/>
            <a:gd name="connsiteY103" fmla="*/ 78310 h 619188"/>
            <a:gd name="connsiteX104" fmla="*/ 1278559 w 8041479"/>
            <a:gd name="connsiteY104" fmla="*/ 158958 h 619188"/>
            <a:gd name="connsiteX105" fmla="*/ 1280225 w 8041479"/>
            <a:gd name="connsiteY105" fmla="*/ 153593 h 619188"/>
            <a:gd name="connsiteX106" fmla="*/ 1225636 w 8041479"/>
            <a:gd name="connsiteY106" fmla="*/ 234559 h 619188"/>
            <a:gd name="connsiteX107" fmla="*/ 1012430 w 8041479"/>
            <a:gd name="connsiteY107" fmla="*/ 322872 h 619188"/>
            <a:gd name="connsiteX108" fmla="*/ 0 w 8041479"/>
            <a:gd name="connsiteY108" fmla="*/ 619188 h 619188"/>
            <a:gd name="connsiteX109" fmla="*/ 8041479 w 8041479"/>
            <a:gd name="connsiteY109" fmla="*/ 619188 h 619188"/>
            <a:gd name="connsiteX110" fmla="*/ 8041479 w 8041479"/>
            <a:gd name="connsiteY110" fmla="*/ 224499 h 619188"/>
            <a:gd name="connsiteX111" fmla="*/ 7816980 w 8041479"/>
            <a:gd name="connsiteY111" fmla="*/ 0 h 619188"/>
            <a:gd name="connsiteX112" fmla="*/ 224499 w 8041479"/>
            <a:gd name="connsiteY112" fmla="*/ 0 h 619188"/>
            <a:gd name="connsiteX113" fmla="*/ 0 w 8041479"/>
            <a:gd name="connsiteY113" fmla="*/ 224499 h 6191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</a:cxnLst>
          <a:rect l="l" t="t" r="r" b="b"/>
          <a:pathLst>
            <a:path w="8041479" h="619188">
              <a:moveTo>
                <a:pt x="7010626" y="322872"/>
              </a:moveTo>
              <a:cubicBezTo>
                <a:pt x="6927365" y="322872"/>
                <a:pt x="6851985" y="289124"/>
                <a:pt x="6797421" y="234559"/>
              </a:cubicBezTo>
              <a:lnTo>
                <a:pt x="6742835" y="153598"/>
              </a:lnTo>
              <a:lnTo>
                <a:pt x="6744499" y="158958"/>
              </a:lnTo>
              <a:lnTo>
                <a:pt x="6690125" y="78310"/>
              </a:lnTo>
              <a:cubicBezTo>
                <a:pt x="6665932" y="54117"/>
                <a:pt x="6637125" y="34542"/>
                <a:pt x="6605138" y="21012"/>
              </a:cubicBezTo>
              <a:lnTo>
                <a:pt x="6501070" y="1"/>
              </a:lnTo>
              <a:lnTo>
                <a:pt x="6713419" y="1"/>
              </a:lnTo>
              <a:lnTo>
                <a:pt x="6723954" y="1"/>
              </a:lnTo>
              <a:lnTo>
                <a:pt x="7297300" y="1"/>
              </a:lnTo>
              <a:lnTo>
                <a:pt x="7307833" y="1"/>
              </a:lnTo>
              <a:lnTo>
                <a:pt x="7520184" y="1"/>
              </a:lnTo>
              <a:lnTo>
                <a:pt x="7416116" y="21012"/>
              </a:lnTo>
              <a:cubicBezTo>
                <a:pt x="7384129" y="34542"/>
                <a:pt x="7355322" y="54117"/>
                <a:pt x="7331129" y="78310"/>
              </a:cubicBezTo>
              <a:lnTo>
                <a:pt x="7276755" y="158958"/>
              </a:lnTo>
              <a:lnTo>
                <a:pt x="7278421" y="153593"/>
              </a:lnTo>
              <a:lnTo>
                <a:pt x="7223831" y="234559"/>
              </a:lnTo>
              <a:cubicBezTo>
                <a:pt x="7169267" y="289124"/>
                <a:pt x="7093889" y="322872"/>
                <a:pt x="7010626" y="322872"/>
              </a:cubicBezTo>
              <a:close/>
              <a:moveTo>
                <a:pt x="5810985" y="322872"/>
              </a:moveTo>
              <a:cubicBezTo>
                <a:pt x="5727724" y="322872"/>
                <a:pt x="5652345" y="289124"/>
                <a:pt x="5597781" y="234559"/>
              </a:cubicBezTo>
              <a:lnTo>
                <a:pt x="5543194" y="153598"/>
              </a:lnTo>
              <a:lnTo>
                <a:pt x="5544858" y="158958"/>
              </a:lnTo>
              <a:lnTo>
                <a:pt x="5490484" y="78310"/>
              </a:lnTo>
              <a:cubicBezTo>
                <a:pt x="5466292" y="54117"/>
                <a:pt x="5437485" y="34542"/>
                <a:pt x="5405497" y="21012"/>
              </a:cubicBezTo>
              <a:lnTo>
                <a:pt x="5301429" y="1"/>
              </a:lnTo>
              <a:lnTo>
                <a:pt x="5513778" y="1"/>
              </a:lnTo>
              <a:lnTo>
                <a:pt x="5524313" y="1"/>
              </a:lnTo>
              <a:lnTo>
                <a:pt x="6097659" y="1"/>
              </a:lnTo>
              <a:lnTo>
                <a:pt x="6108193" y="1"/>
              </a:lnTo>
              <a:lnTo>
                <a:pt x="6320543" y="1"/>
              </a:lnTo>
              <a:lnTo>
                <a:pt x="6216476" y="21012"/>
              </a:lnTo>
              <a:cubicBezTo>
                <a:pt x="6184488" y="34542"/>
                <a:pt x="6155681" y="54117"/>
                <a:pt x="6131488" y="78310"/>
              </a:cubicBezTo>
              <a:lnTo>
                <a:pt x="6077114" y="158958"/>
              </a:lnTo>
              <a:lnTo>
                <a:pt x="6078780" y="153593"/>
              </a:lnTo>
              <a:lnTo>
                <a:pt x="6024190" y="234559"/>
              </a:lnTo>
              <a:cubicBezTo>
                <a:pt x="5969626" y="289124"/>
                <a:pt x="5894248" y="322872"/>
                <a:pt x="5810985" y="322872"/>
              </a:cubicBezTo>
              <a:close/>
              <a:moveTo>
                <a:pt x="4611346" y="322872"/>
              </a:moveTo>
              <a:cubicBezTo>
                <a:pt x="4528085" y="322872"/>
                <a:pt x="4452706" y="289124"/>
                <a:pt x="4398142" y="234559"/>
              </a:cubicBezTo>
              <a:lnTo>
                <a:pt x="4343555" y="153598"/>
              </a:lnTo>
              <a:lnTo>
                <a:pt x="4345219" y="158958"/>
              </a:lnTo>
              <a:lnTo>
                <a:pt x="4290845" y="78310"/>
              </a:lnTo>
              <a:cubicBezTo>
                <a:pt x="4266653" y="54117"/>
                <a:pt x="4237846" y="34542"/>
                <a:pt x="4205858" y="21012"/>
              </a:cubicBezTo>
              <a:lnTo>
                <a:pt x="4101790" y="1"/>
              </a:lnTo>
              <a:lnTo>
                <a:pt x="4314139" y="1"/>
              </a:lnTo>
              <a:lnTo>
                <a:pt x="4324674" y="1"/>
              </a:lnTo>
              <a:lnTo>
                <a:pt x="4898020" y="1"/>
              </a:lnTo>
              <a:lnTo>
                <a:pt x="4908554" y="1"/>
              </a:lnTo>
              <a:lnTo>
                <a:pt x="5120904" y="1"/>
              </a:lnTo>
              <a:lnTo>
                <a:pt x="5016837" y="21012"/>
              </a:lnTo>
              <a:cubicBezTo>
                <a:pt x="4984849" y="34542"/>
                <a:pt x="4956042" y="54117"/>
                <a:pt x="4931849" y="78310"/>
              </a:cubicBezTo>
              <a:lnTo>
                <a:pt x="4877475" y="158958"/>
              </a:lnTo>
              <a:lnTo>
                <a:pt x="4879141" y="153593"/>
              </a:lnTo>
              <a:lnTo>
                <a:pt x="4824551" y="234559"/>
              </a:lnTo>
              <a:cubicBezTo>
                <a:pt x="4769987" y="289124"/>
                <a:pt x="4694609" y="322872"/>
                <a:pt x="4611346" y="322872"/>
              </a:cubicBezTo>
              <a:close/>
              <a:moveTo>
                <a:pt x="3411707" y="322872"/>
              </a:moveTo>
              <a:cubicBezTo>
                <a:pt x="3328446" y="322872"/>
                <a:pt x="3253067" y="289124"/>
                <a:pt x="3198503" y="234559"/>
              </a:cubicBezTo>
              <a:lnTo>
                <a:pt x="3143916" y="153598"/>
              </a:lnTo>
              <a:lnTo>
                <a:pt x="3145580" y="158958"/>
              </a:lnTo>
              <a:lnTo>
                <a:pt x="3091206" y="78310"/>
              </a:lnTo>
              <a:cubicBezTo>
                <a:pt x="3067014" y="54117"/>
                <a:pt x="3038207" y="34542"/>
                <a:pt x="3006219" y="21012"/>
              </a:cubicBezTo>
              <a:lnTo>
                <a:pt x="2902151" y="1"/>
              </a:lnTo>
              <a:lnTo>
                <a:pt x="3114500" y="1"/>
              </a:lnTo>
              <a:lnTo>
                <a:pt x="3125035" y="1"/>
              </a:lnTo>
              <a:lnTo>
                <a:pt x="3698381" y="1"/>
              </a:lnTo>
              <a:lnTo>
                <a:pt x="3708915" y="1"/>
              </a:lnTo>
              <a:lnTo>
                <a:pt x="3921265" y="1"/>
              </a:lnTo>
              <a:lnTo>
                <a:pt x="3817198" y="21012"/>
              </a:lnTo>
              <a:cubicBezTo>
                <a:pt x="3785210" y="34542"/>
                <a:pt x="3756403" y="54117"/>
                <a:pt x="3732210" y="78310"/>
              </a:cubicBezTo>
              <a:lnTo>
                <a:pt x="3677836" y="158958"/>
              </a:lnTo>
              <a:lnTo>
                <a:pt x="3679502" y="153593"/>
              </a:lnTo>
              <a:lnTo>
                <a:pt x="3624912" y="234559"/>
              </a:lnTo>
              <a:cubicBezTo>
                <a:pt x="3570348" y="289124"/>
                <a:pt x="3494970" y="322872"/>
                <a:pt x="3411707" y="322872"/>
              </a:cubicBezTo>
              <a:close/>
              <a:moveTo>
                <a:pt x="2212068" y="322872"/>
              </a:moveTo>
              <a:cubicBezTo>
                <a:pt x="2128807" y="322872"/>
                <a:pt x="2053428" y="289124"/>
                <a:pt x="1998864" y="234559"/>
              </a:cubicBezTo>
              <a:lnTo>
                <a:pt x="1944278" y="153598"/>
              </a:lnTo>
              <a:lnTo>
                <a:pt x="1945942" y="158958"/>
              </a:lnTo>
              <a:lnTo>
                <a:pt x="1891568" y="78310"/>
              </a:lnTo>
              <a:cubicBezTo>
                <a:pt x="1867375" y="54117"/>
                <a:pt x="1838568" y="34542"/>
                <a:pt x="1806580" y="21012"/>
              </a:cubicBezTo>
              <a:lnTo>
                <a:pt x="1702512" y="1"/>
              </a:lnTo>
              <a:lnTo>
                <a:pt x="1914861" y="1"/>
              </a:lnTo>
              <a:lnTo>
                <a:pt x="1925397" y="1"/>
              </a:lnTo>
              <a:lnTo>
                <a:pt x="2498742" y="1"/>
              </a:lnTo>
              <a:lnTo>
                <a:pt x="2509276" y="1"/>
              </a:lnTo>
              <a:lnTo>
                <a:pt x="2721626" y="1"/>
              </a:lnTo>
              <a:lnTo>
                <a:pt x="2617559" y="21012"/>
              </a:lnTo>
              <a:cubicBezTo>
                <a:pt x="2585571" y="34542"/>
                <a:pt x="2556764" y="54117"/>
                <a:pt x="2532571" y="78310"/>
              </a:cubicBezTo>
              <a:lnTo>
                <a:pt x="2478197" y="158958"/>
              </a:lnTo>
              <a:lnTo>
                <a:pt x="2479863" y="153593"/>
              </a:lnTo>
              <a:lnTo>
                <a:pt x="2425273" y="234559"/>
              </a:lnTo>
              <a:cubicBezTo>
                <a:pt x="2370709" y="289124"/>
                <a:pt x="2295331" y="322872"/>
                <a:pt x="2212068" y="322872"/>
              </a:cubicBezTo>
              <a:close/>
              <a:moveTo>
                <a:pt x="1012430" y="322872"/>
              </a:moveTo>
              <a:cubicBezTo>
                <a:pt x="929170" y="322872"/>
                <a:pt x="853790" y="289124"/>
                <a:pt x="799225" y="234559"/>
              </a:cubicBezTo>
              <a:lnTo>
                <a:pt x="744639" y="153598"/>
              </a:lnTo>
              <a:lnTo>
                <a:pt x="746303" y="158958"/>
              </a:lnTo>
              <a:lnTo>
                <a:pt x="691929" y="78310"/>
              </a:lnTo>
              <a:cubicBezTo>
                <a:pt x="667737" y="54117"/>
                <a:pt x="638930" y="34542"/>
                <a:pt x="606942" y="21012"/>
              </a:cubicBezTo>
              <a:lnTo>
                <a:pt x="502874" y="1"/>
              </a:lnTo>
              <a:lnTo>
                <a:pt x="715223" y="1"/>
              </a:lnTo>
              <a:lnTo>
                <a:pt x="725758" y="1"/>
              </a:lnTo>
              <a:lnTo>
                <a:pt x="1299104" y="1"/>
              </a:lnTo>
              <a:lnTo>
                <a:pt x="1309638" y="1"/>
              </a:lnTo>
              <a:lnTo>
                <a:pt x="1521988" y="1"/>
              </a:lnTo>
              <a:lnTo>
                <a:pt x="1417921" y="21012"/>
              </a:lnTo>
              <a:cubicBezTo>
                <a:pt x="1385933" y="34542"/>
                <a:pt x="1357126" y="54117"/>
                <a:pt x="1332933" y="78310"/>
              </a:cubicBezTo>
              <a:lnTo>
                <a:pt x="1278559" y="158958"/>
              </a:lnTo>
              <a:lnTo>
                <a:pt x="1280225" y="153593"/>
              </a:lnTo>
              <a:lnTo>
                <a:pt x="1225636" y="234559"/>
              </a:lnTo>
              <a:cubicBezTo>
                <a:pt x="1171071" y="289124"/>
                <a:pt x="1095693" y="322872"/>
                <a:pt x="1012430" y="322872"/>
              </a:cubicBezTo>
              <a:close/>
              <a:moveTo>
                <a:pt x="0" y="619188"/>
              </a:moveTo>
              <a:lnTo>
                <a:pt x="8041479" y="619188"/>
              </a:lnTo>
              <a:lnTo>
                <a:pt x="8041479" y="224499"/>
              </a:lnTo>
              <a:cubicBezTo>
                <a:pt x="8041479" y="100512"/>
                <a:pt x="7940967" y="0"/>
                <a:pt x="7816980" y="0"/>
              </a:cubicBezTo>
              <a:lnTo>
                <a:pt x="224499" y="0"/>
              </a:lnTo>
              <a:cubicBezTo>
                <a:pt x="100512" y="0"/>
                <a:pt x="0" y="100512"/>
                <a:pt x="0" y="224499"/>
              </a:cubicBezTo>
              <a:close/>
            </a:path>
          </a:pathLst>
        </a:custGeom>
        <a:gradFill flip="none" rotWithShape="1">
          <a:gsLst>
            <a:gs pos="0">
              <a:srgbClr val="0A74BD">
                <a:lumMod val="99000"/>
              </a:srgbClr>
            </a:gs>
            <a:gs pos="100000">
              <a:srgbClr val="0070C0"/>
            </a:gs>
          </a:gsLst>
          <a:lin ang="5400000" scaled="1"/>
          <a:tileRect/>
        </a:gra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s-CO" sz="1100"/>
        </a:p>
      </xdr:txBody>
    </xdr:sp>
    <xdr:clientData/>
  </xdr:twoCellAnchor>
  <xdr:twoCellAnchor>
    <xdr:from>
      <xdr:col>3</xdr:col>
      <xdr:colOff>57014</xdr:colOff>
      <xdr:row>0</xdr:row>
      <xdr:rowOff>56963</xdr:rowOff>
    </xdr:from>
    <xdr:to>
      <xdr:col>4</xdr:col>
      <xdr:colOff>628680</xdr:colOff>
      <xdr:row>0</xdr:row>
      <xdr:rowOff>818591</xdr:rowOff>
    </xdr:to>
    <xdr:grpSp>
      <xdr:nvGrpSpPr>
        <xdr:cNvPr id="1334" name="Grupo 1333">
          <a:extLst>
            <a:ext uri="{FF2B5EF4-FFF2-40B4-BE49-F238E27FC236}">
              <a16:creationId xmlns:a16="http://schemas.microsoft.com/office/drawing/2014/main" id="{81171AF1-345F-07D9-BCDF-B3D7BB543FF1}"/>
            </a:ext>
          </a:extLst>
        </xdr:cNvPr>
        <xdr:cNvGrpSpPr/>
      </xdr:nvGrpSpPr>
      <xdr:grpSpPr>
        <a:xfrm>
          <a:off x="2011710" y="56963"/>
          <a:ext cx="1028866" cy="761628"/>
          <a:chOff x="2536026" y="3075466"/>
          <a:chExt cx="1061222" cy="761628"/>
        </a:xfrm>
      </xdr:grpSpPr>
      <xdr:sp macro="[0]!Optativas" textlink="">
        <xdr:nvSpPr>
          <xdr:cNvPr id="1356" name="Elipse 1355">
            <a:extLst>
              <a:ext uri="{FF2B5EF4-FFF2-40B4-BE49-F238E27FC236}">
                <a16:creationId xmlns:a16="http://schemas.microsoft.com/office/drawing/2014/main" id="{0AEF0D34-E163-B634-01B4-5FF7B1839AC7}"/>
              </a:ext>
            </a:extLst>
          </xdr:cNvPr>
          <xdr:cNvSpPr/>
        </xdr:nvSpPr>
        <xdr:spPr>
          <a:xfrm>
            <a:off x="2854280" y="3370274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Optativas" textlink="">
        <xdr:nvSpPr>
          <xdr:cNvPr id="1357" name="CuadroTexto 32">
            <a:extLst>
              <a:ext uri="{FF2B5EF4-FFF2-40B4-BE49-F238E27FC236}">
                <a16:creationId xmlns:a16="http://schemas.microsoft.com/office/drawing/2014/main" id="{F3F18F96-722F-F4D0-F45C-1221B5BC9F70}"/>
              </a:ext>
            </a:extLst>
          </xdr:cNvPr>
          <xdr:cNvSpPr txBox="1"/>
        </xdr:nvSpPr>
        <xdr:spPr>
          <a:xfrm>
            <a:off x="2536026" y="3075466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</a:t>
            </a:r>
            <a:r>
              <a:rPr lang="es-CO" sz="7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Electivas</a:t>
            </a:r>
            <a:endParaRPr lang="es-CO" sz="7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Optativas">
        <xdr:nvPicPr>
          <xdr:cNvPr id="1358" name="Gráfico 47" descr="Libros con relleno sólido">
            <a:extLst>
              <a:ext uri="{FF2B5EF4-FFF2-40B4-BE49-F238E27FC236}">
                <a16:creationId xmlns:a16="http://schemas.microsoft.com/office/drawing/2014/main" id="{8A6F3B5F-71F8-7C0D-FE8F-3447965040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979691" y="3493960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5</xdr:col>
      <xdr:colOff>79259</xdr:colOff>
      <xdr:row>0</xdr:row>
      <xdr:rowOff>56963</xdr:rowOff>
    </xdr:from>
    <xdr:to>
      <xdr:col>5</xdr:col>
      <xdr:colOff>1140481</xdr:colOff>
      <xdr:row>0</xdr:row>
      <xdr:rowOff>818591</xdr:rowOff>
    </xdr:to>
    <xdr:grpSp>
      <xdr:nvGrpSpPr>
        <xdr:cNvPr id="1439" name="Grupo 1438">
          <a:extLst>
            <a:ext uri="{FF2B5EF4-FFF2-40B4-BE49-F238E27FC236}">
              <a16:creationId xmlns:a16="http://schemas.microsoft.com/office/drawing/2014/main" id="{456F4DCB-2470-5B29-B941-AD2CC48FCC5F}"/>
            </a:ext>
          </a:extLst>
        </xdr:cNvPr>
        <xdr:cNvGrpSpPr/>
      </xdr:nvGrpSpPr>
      <xdr:grpSpPr>
        <a:xfrm>
          <a:off x="3273033" y="56963"/>
          <a:ext cx="1061222" cy="761628"/>
          <a:chOff x="2377104" y="56963"/>
          <a:chExt cx="1061222" cy="761628"/>
        </a:xfrm>
      </xdr:grpSpPr>
      <xdr:sp macro="[0]!IngresoNotas" textlink="">
        <xdr:nvSpPr>
          <xdr:cNvPr id="1353" name="Elipse 1352">
            <a:extLst>
              <a:ext uri="{FF2B5EF4-FFF2-40B4-BE49-F238E27FC236}">
                <a16:creationId xmlns:a16="http://schemas.microsoft.com/office/drawing/2014/main" id="{3C932B44-CA5C-AEA6-B343-750AF329623B}"/>
              </a:ext>
            </a:extLst>
          </xdr:cNvPr>
          <xdr:cNvSpPr/>
        </xdr:nvSpPr>
        <xdr:spPr>
          <a:xfrm>
            <a:off x="2695358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IngresoNotas" textlink="">
        <xdr:nvSpPr>
          <xdr:cNvPr id="1354" name="CuadroTexto 32">
            <a:extLst>
              <a:ext uri="{FF2B5EF4-FFF2-40B4-BE49-F238E27FC236}">
                <a16:creationId xmlns:a16="http://schemas.microsoft.com/office/drawing/2014/main" id="{8CD9B548-A1FA-2ABD-4E38-3386D9607BFC}"/>
              </a:ext>
            </a:extLst>
          </xdr:cNvPr>
          <xdr:cNvSpPr txBox="1"/>
        </xdr:nvSpPr>
        <xdr:spPr>
          <a:xfrm>
            <a:off x="2377104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</a:t>
            </a:r>
            <a:r>
              <a:rPr lang="es-CO" sz="7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Notas</a:t>
            </a:r>
            <a:endParaRPr lang="es-CO" sz="7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IngresoNotas">
        <xdr:nvPicPr>
          <xdr:cNvPr id="1355" name="Gráfico 537" descr="Portapapeles con relleno sólido">
            <a:extLst>
              <a:ext uri="{FF2B5EF4-FFF2-40B4-BE49-F238E27FC236}">
                <a16:creationId xmlns:a16="http://schemas.microsoft.com/office/drawing/2014/main" id="{5BFE620E-3D59-8B3F-0339-012622AAB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820769" y="475457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9</xdr:col>
      <xdr:colOff>445522</xdr:colOff>
      <xdr:row>0</xdr:row>
      <xdr:rowOff>56963</xdr:rowOff>
    </xdr:from>
    <xdr:to>
      <xdr:col>11</xdr:col>
      <xdr:colOff>364435</xdr:colOff>
      <xdr:row>0</xdr:row>
      <xdr:rowOff>818591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99F7BD6C-1874-B4DC-9613-95A987351A16}"/>
            </a:ext>
          </a:extLst>
        </xdr:cNvPr>
        <xdr:cNvGrpSpPr/>
      </xdr:nvGrpSpPr>
      <xdr:grpSpPr>
        <a:xfrm>
          <a:off x="8350444" y="56963"/>
          <a:ext cx="1111608" cy="761628"/>
          <a:chOff x="7808545" y="56963"/>
          <a:chExt cx="1061222" cy="761628"/>
        </a:xfrm>
      </xdr:grpSpPr>
      <xdr:sp macro="[0]!Reiniciar" textlink="">
        <xdr:nvSpPr>
          <xdr:cNvPr id="1346" name="Elipse 1345">
            <a:extLst>
              <a:ext uri="{FF2B5EF4-FFF2-40B4-BE49-F238E27FC236}">
                <a16:creationId xmlns:a16="http://schemas.microsoft.com/office/drawing/2014/main" id="{52B8EF08-4C54-9823-CEF3-926C8E99EEEC}"/>
              </a:ext>
            </a:extLst>
          </xdr:cNvPr>
          <xdr:cNvSpPr/>
        </xdr:nvSpPr>
        <xdr:spPr>
          <a:xfrm>
            <a:off x="8126799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Reiniciar" textlink="">
        <xdr:nvSpPr>
          <xdr:cNvPr id="1347" name="CuadroTexto 32">
            <a:extLst>
              <a:ext uri="{FF2B5EF4-FFF2-40B4-BE49-F238E27FC236}">
                <a16:creationId xmlns:a16="http://schemas.microsoft.com/office/drawing/2014/main" id="{223ACE70-7275-0CD2-44E4-4AE041EA4AF8}"/>
              </a:ext>
            </a:extLst>
          </xdr:cNvPr>
          <xdr:cNvSpPr txBox="1"/>
        </xdr:nvSpPr>
        <xdr:spPr>
          <a:xfrm>
            <a:off x="7808545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Reiniciar</a:t>
            </a:r>
            <a:endParaRPr lang="es-CO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Reiniciar">
        <xdr:nvPicPr>
          <xdr:cNvPr id="1348" name="Gráfico 534" descr="Potencia con relleno sólido">
            <a:extLst>
              <a:ext uri="{FF2B5EF4-FFF2-40B4-BE49-F238E27FC236}">
                <a16:creationId xmlns:a16="http://schemas.microsoft.com/office/drawing/2014/main" id="{FA2D6C39-FFEA-FB63-7147-D0D0831669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8252210" y="473259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8</xdr:col>
      <xdr:colOff>725138</xdr:colOff>
      <xdr:row>0</xdr:row>
      <xdr:rowOff>56963</xdr:rowOff>
    </xdr:from>
    <xdr:to>
      <xdr:col>9</xdr:col>
      <xdr:colOff>278296</xdr:colOff>
      <xdr:row>0</xdr:row>
      <xdr:rowOff>818591</xdr:rowOff>
    </xdr:to>
    <xdr:grpSp>
      <xdr:nvGrpSpPr>
        <xdr:cNvPr id="1338" name="Grupo 1337">
          <a:extLst>
            <a:ext uri="{FF2B5EF4-FFF2-40B4-BE49-F238E27FC236}">
              <a16:creationId xmlns:a16="http://schemas.microsoft.com/office/drawing/2014/main" id="{A37AB3A8-B55B-8EEC-0CB1-F7C4C6F81D4E}"/>
            </a:ext>
          </a:extLst>
        </xdr:cNvPr>
        <xdr:cNvGrpSpPr/>
      </xdr:nvGrpSpPr>
      <xdr:grpSpPr>
        <a:xfrm>
          <a:off x="7092808" y="56963"/>
          <a:ext cx="1090410" cy="761628"/>
          <a:chOff x="7334582" y="3075466"/>
          <a:chExt cx="1061222" cy="761628"/>
        </a:xfrm>
      </xdr:grpSpPr>
      <xdr:sp macro="[0]!GuardarPDF" textlink="">
        <xdr:nvSpPr>
          <xdr:cNvPr id="1343" name="Elipse 1342">
            <a:extLst>
              <a:ext uri="{FF2B5EF4-FFF2-40B4-BE49-F238E27FC236}">
                <a16:creationId xmlns:a16="http://schemas.microsoft.com/office/drawing/2014/main" id="{BDCBFAD2-85C2-18F9-5BEC-3796FC704BCB}"/>
              </a:ext>
            </a:extLst>
          </xdr:cNvPr>
          <xdr:cNvSpPr/>
        </xdr:nvSpPr>
        <xdr:spPr>
          <a:xfrm>
            <a:off x="7652836" y="3370274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GuardarPDF" textlink="">
        <xdr:nvSpPr>
          <xdr:cNvPr id="1344" name="CuadroTexto 32">
            <a:extLst>
              <a:ext uri="{FF2B5EF4-FFF2-40B4-BE49-F238E27FC236}">
                <a16:creationId xmlns:a16="http://schemas.microsoft.com/office/drawing/2014/main" id="{C75D690D-7FBC-98DD-9EB5-F89DA67D47AE}"/>
              </a:ext>
            </a:extLst>
          </xdr:cNvPr>
          <xdr:cNvSpPr txBox="1"/>
        </xdr:nvSpPr>
        <xdr:spPr>
          <a:xfrm>
            <a:off x="7334582" y="3075466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Guardar PDF</a:t>
            </a:r>
          </a:p>
        </xdr:txBody>
      </xdr:sp>
      <xdr:pic macro="[0]!GuardarPDF">
        <xdr:nvPicPr>
          <xdr:cNvPr id="1345" name="Gráfico 535" descr="Clip con relleno sólido">
            <a:extLst>
              <a:ext uri="{FF2B5EF4-FFF2-40B4-BE49-F238E27FC236}">
                <a16:creationId xmlns:a16="http://schemas.microsoft.com/office/drawing/2014/main" id="{74CD39B0-C864-83F3-93E4-F0855E846E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778247" y="3508643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5</xdr:col>
      <xdr:colOff>1360636</xdr:colOff>
      <xdr:row>0</xdr:row>
      <xdr:rowOff>56963</xdr:rowOff>
    </xdr:from>
    <xdr:to>
      <xdr:col>7</xdr:col>
      <xdr:colOff>284921</xdr:colOff>
      <xdr:row>0</xdr:row>
      <xdr:rowOff>818591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6FC03251-F37E-69E3-0C6D-FE2D44699A0E}"/>
            </a:ext>
          </a:extLst>
        </xdr:cNvPr>
        <xdr:cNvGrpSpPr/>
      </xdr:nvGrpSpPr>
      <xdr:grpSpPr>
        <a:xfrm>
          <a:off x="4554410" y="56963"/>
          <a:ext cx="1104268" cy="761628"/>
          <a:chOff x="3765257" y="56963"/>
          <a:chExt cx="1061222" cy="761628"/>
        </a:xfrm>
      </xdr:grpSpPr>
      <xdr:sp macro="[0]!IngresoFirmas" textlink="">
        <xdr:nvSpPr>
          <xdr:cNvPr id="1386" name="Elipse 1385">
            <a:extLst>
              <a:ext uri="{FF2B5EF4-FFF2-40B4-BE49-F238E27FC236}">
                <a16:creationId xmlns:a16="http://schemas.microsoft.com/office/drawing/2014/main" id="{861959DD-6652-8DD1-9247-B47B1786DAA1}"/>
              </a:ext>
            </a:extLst>
          </xdr:cNvPr>
          <xdr:cNvSpPr/>
        </xdr:nvSpPr>
        <xdr:spPr>
          <a:xfrm>
            <a:off x="4061003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IngresoFirmas" textlink="">
        <xdr:nvSpPr>
          <xdr:cNvPr id="1387" name="CuadroTexto 32">
            <a:extLst>
              <a:ext uri="{FF2B5EF4-FFF2-40B4-BE49-F238E27FC236}">
                <a16:creationId xmlns:a16="http://schemas.microsoft.com/office/drawing/2014/main" id="{40CC3799-3FC7-5B69-B71C-B97B0DF7A090}"/>
              </a:ext>
            </a:extLst>
          </xdr:cNvPr>
          <xdr:cNvSpPr txBox="1"/>
        </xdr:nvSpPr>
        <xdr:spPr>
          <a:xfrm>
            <a:off x="3765257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 firmas</a:t>
            </a:r>
          </a:p>
        </xdr:txBody>
      </xdr:sp>
      <xdr:pic macro="[0]!IngresoFirmas">
        <xdr:nvPicPr>
          <xdr:cNvPr id="1389" name="Gráfico 536" descr="Firma con relleno sólido">
            <a:extLst>
              <a:ext uri="{FF2B5EF4-FFF2-40B4-BE49-F238E27FC236}">
                <a16:creationId xmlns:a16="http://schemas.microsoft.com/office/drawing/2014/main" id="{D525B593-9C37-D25C-C71E-D42C9F4BF3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4176033" y="462112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1</xdr:col>
      <xdr:colOff>6361</xdr:colOff>
      <xdr:row>1</xdr:row>
      <xdr:rowOff>6359</xdr:rowOff>
    </xdr:from>
    <xdr:to>
      <xdr:col>13</xdr:col>
      <xdr:colOff>0</xdr:colOff>
      <xdr:row>89</xdr:row>
      <xdr:rowOff>150484</xdr:rowOff>
    </xdr:to>
    <xdr:sp macro="" textlink="">
      <xdr:nvSpPr>
        <xdr:cNvPr id="1400" name="Rectángulo 1399">
          <a:extLst>
            <a:ext uri="{FF2B5EF4-FFF2-40B4-BE49-F238E27FC236}">
              <a16:creationId xmlns:a16="http://schemas.microsoft.com/office/drawing/2014/main" id="{97802F9A-7C94-3D44-23C4-850213B6A9A7}"/>
            </a:ext>
          </a:extLst>
        </xdr:cNvPr>
        <xdr:cNvSpPr/>
      </xdr:nvSpPr>
      <xdr:spPr>
        <a:xfrm>
          <a:off x="423327" y="869553"/>
          <a:ext cx="9115694" cy="13845494"/>
        </a:xfrm>
        <a:prstGeom prst="rect">
          <a:avLst/>
        </a:prstGeom>
        <a:noFill/>
        <a:ln w="12700">
          <a:solidFill>
            <a:srgbClr val="679CE3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356577</xdr:colOff>
      <xdr:row>0</xdr:row>
      <xdr:rowOff>56962</xdr:rowOff>
    </xdr:from>
    <xdr:to>
      <xdr:col>8</xdr:col>
      <xdr:colOff>622852</xdr:colOff>
      <xdr:row>0</xdr:row>
      <xdr:rowOff>818591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8D9B797-A352-C13E-06F7-0070A9DBD6C9}"/>
            </a:ext>
          </a:extLst>
        </xdr:cNvPr>
        <xdr:cNvGrpSpPr/>
      </xdr:nvGrpSpPr>
      <xdr:grpSpPr>
        <a:xfrm>
          <a:off x="5730334" y="56962"/>
          <a:ext cx="1260188" cy="761629"/>
          <a:chOff x="5008417" y="56962"/>
          <a:chExt cx="1232010" cy="761629"/>
        </a:xfrm>
      </xdr:grpSpPr>
      <xdr:sp macro="[0]!Observaciones" textlink="">
        <xdr:nvSpPr>
          <xdr:cNvPr id="1340" name="CuadroTexto 32">
            <a:extLst>
              <a:ext uri="{FF2B5EF4-FFF2-40B4-BE49-F238E27FC236}">
                <a16:creationId xmlns:a16="http://schemas.microsoft.com/office/drawing/2014/main" id="{12B30C8A-B478-D190-5E50-166292F37A13}"/>
              </a:ext>
            </a:extLst>
          </xdr:cNvPr>
          <xdr:cNvSpPr txBox="1"/>
        </xdr:nvSpPr>
        <xdr:spPr>
          <a:xfrm>
            <a:off x="5008417" y="56962"/>
            <a:ext cx="1232010" cy="2363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 Observaciones</a:t>
            </a:r>
          </a:p>
        </xdr:txBody>
      </xdr:sp>
      <xdr:sp macro="[0]!Observaciones" textlink="">
        <xdr:nvSpPr>
          <xdr:cNvPr id="1341" name="Elipse 1340">
            <a:extLst>
              <a:ext uri="{FF2B5EF4-FFF2-40B4-BE49-F238E27FC236}">
                <a16:creationId xmlns:a16="http://schemas.microsoft.com/office/drawing/2014/main" id="{9BC63468-D1A8-C175-027C-BD44C35D7FF6}"/>
              </a:ext>
            </a:extLst>
          </xdr:cNvPr>
          <xdr:cNvSpPr/>
        </xdr:nvSpPr>
        <xdr:spPr>
          <a:xfrm>
            <a:off x="5404916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pic macro="[0]!Observaciones">
        <xdr:nvPicPr>
          <xdr:cNvPr id="12" name="Gráfico 11" descr="Burbuja de chat con relleno sólido">
            <a:extLst>
              <a:ext uri="{FF2B5EF4-FFF2-40B4-BE49-F238E27FC236}">
                <a16:creationId xmlns:a16="http://schemas.microsoft.com/office/drawing/2014/main" id="{10B3789F-A9F4-D5A9-3172-8A12351696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5492023" y="461385"/>
            <a:ext cx="292608" cy="292608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220980</xdr:colOff>
          <xdr:row>13</xdr:row>
          <xdr:rowOff>175260</xdr:rowOff>
        </xdr:from>
        <xdr:to>
          <xdr:col>14</xdr:col>
          <xdr:colOff>1592580</xdr:colOff>
          <xdr:row>17</xdr:row>
          <xdr:rowOff>53340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5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 fitToPage="1"/>
  </sheetPr>
  <dimension ref="A1:N90"/>
  <sheetViews>
    <sheetView showGridLines="0" showRowColHeaders="0" tabSelected="1" showRuler="0" zoomScale="115" zoomScaleNormal="115" zoomScaleSheetLayoutView="100" workbookViewId="0">
      <pane ySplit="1" topLeftCell="A2" activePane="bottomLeft" state="frozen"/>
      <selection pane="bottomLeft" activeCell="I87" sqref="I87:K87"/>
    </sheetView>
  </sheetViews>
  <sheetFormatPr baseColWidth="10" defaultColWidth="11.109375" defaultRowHeight="12" x14ac:dyDescent="0.3"/>
  <cols>
    <col min="1" max="1" width="21.109375" style="107" customWidth="1"/>
    <col min="2" max="2" width="4.44140625" style="84" customWidth="1"/>
    <col min="3" max="3" width="2.88671875" style="85" customWidth="1"/>
    <col min="4" max="4" width="6.6640625" style="84" customWidth="1"/>
    <col min="5" max="5" width="11.44140625" style="86" customWidth="1"/>
    <col min="6" max="6" width="25.109375" style="86" customWidth="1"/>
    <col min="7" max="7" width="6.6640625" style="84" customWidth="1"/>
    <col min="8" max="8" width="14.44140625" style="86" customWidth="1"/>
    <col min="9" max="9" width="22.44140625" style="86" customWidth="1"/>
    <col min="10" max="10" width="8.6640625" style="87" customWidth="1"/>
    <col min="11" max="12" width="8.6640625" style="84" customWidth="1"/>
    <col min="13" max="13" width="4.44140625" style="84" customWidth="1"/>
    <col min="14" max="14" width="5.44140625" style="84" customWidth="1"/>
    <col min="15" max="16384" width="11.109375" style="84"/>
  </cols>
  <sheetData>
    <row r="1" spans="1:13" ht="73.2" customHeight="1" x14ac:dyDescent="0.3">
      <c r="A1" s="114" t="s">
        <v>246</v>
      </c>
    </row>
    <row r="2" spans="1:13" ht="25.95" customHeight="1" x14ac:dyDescent="0.3">
      <c r="B2" s="92"/>
      <c r="C2" s="88"/>
      <c r="D2" s="89"/>
      <c r="E2" s="90"/>
      <c r="F2" s="90"/>
      <c r="G2" s="89"/>
      <c r="H2" s="90"/>
      <c r="I2" s="90"/>
      <c r="J2" s="91"/>
      <c r="K2" s="89"/>
      <c r="L2" s="89"/>
      <c r="M2" s="94"/>
    </row>
    <row r="3" spans="1:13" ht="12.15" customHeight="1" x14ac:dyDescent="0.3">
      <c r="B3" s="93"/>
      <c r="C3" s="178" t="s">
        <v>0</v>
      </c>
      <c r="D3" s="179"/>
      <c r="E3" s="162" t="s">
        <v>1</v>
      </c>
      <c r="F3" s="163"/>
      <c r="G3" s="163"/>
      <c r="H3" s="163"/>
      <c r="I3" s="164"/>
      <c r="J3" s="158" t="s">
        <v>2</v>
      </c>
      <c r="K3" s="158"/>
      <c r="L3" s="158"/>
      <c r="M3" s="95"/>
    </row>
    <row r="4" spans="1:13" ht="12.15" customHeight="1" x14ac:dyDescent="0.3">
      <c r="B4" s="93"/>
      <c r="C4" s="180"/>
      <c r="D4" s="181"/>
      <c r="E4" s="165"/>
      <c r="F4" s="166"/>
      <c r="G4" s="166"/>
      <c r="H4" s="166"/>
      <c r="I4" s="167"/>
      <c r="J4" s="159"/>
      <c r="K4" s="159"/>
      <c r="L4" s="159"/>
      <c r="M4" s="95"/>
    </row>
    <row r="5" spans="1:13" ht="12.15" customHeight="1" x14ac:dyDescent="0.3">
      <c r="B5" s="93"/>
      <c r="C5" s="180"/>
      <c r="D5" s="181"/>
      <c r="E5" s="168" t="s">
        <v>3</v>
      </c>
      <c r="F5" s="169"/>
      <c r="G5" s="169"/>
      <c r="H5" s="169"/>
      <c r="I5" s="170"/>
      <c r="J5" s="188" t="s">
        <v>200</v>
      </c>
      <c r="K5" s="189"/>
      <c r="L5" s="186" t="s">
        <v>4</v>
      </c>
      <c r="M5" s="95"/>
    </row>
    <row r="6" spans="1:13" ht="12.15" customHeight="1" x14ac:dyDescent="0.3">
      <c r="B6" s="93"/>
      <c r="C6" s="182"/>
      <c r="D6" s="183"/>
      <c r="E6" s="171" t="s">
        <v>5</v>
      </c>
      <c r="F6" s="172"/>
      <c r="G6" s="172"/>
      <c r="H6" s="172"/>
      <c r="I6" s="173"/>
      <c r="J6" s="190"/>
      <c r="K6" s="191"/>
      <c r="L6" s="187"/>
      <c r="M6" s="95"/>
    </row>
    <row r="7" spans="1:13" ht="8.6999999999999993" customHeight="1" x14ac:dyDescent="0.3">
      <c r="B7" s="93"/>
      <c r="C7" s="6"/>
      <c r="D7" s="2"/>
      <c r="E7" s="2"/>
      <c r="F7" s="2"/>
      <c r="G7" s="2"/>
      <c r="H7" s="2"/>
      <c r="I7" s="2"/>
      <c r="J7" s="64"/>
      <c r="K7" s="2"/>
      <c r="L7" s="2"/>
      <c r="M7" s="95"/>
    </row>
    <row r="8" spans="1:13" ht="14.4" customHeight="1" x14ac:dyDescent="0.3">
      <c r="B8" s="93"/>
      <c r="C8" s="176" t="s">
        <v>6</v>
      </c>
      <c r="D8" s="177"/>
      <c r="E8" s="177"/>
      <c r="F8" s="174" t="str">
        <f>Notas!B4&amp;" "&amp;Notas!B3</f>
        <v xml:space="preserve"> </v>
      </c>
      <c r="G8" s="174"/>
      <c r="H8" s="174"/>
      <c r="I8" s="175"/>
      <c r="J8" s="161" t="s">
        <v>7</v>
      </c>
      <c r="K8" s="161"/>
      <c r="L8" s="63">
        <f ca="1">TODAY()</f>
        <v>46142</v>
      </c>
      <c r="M8" s="95"/>
    </row>
    <row r="9" spans="1:13" ht="14.4" customHeight="1" x14ac:dyDescent="0.3">
      <c r="B9" s="93"/>
      <c r="C9" s="184" t="s">
        <v>8</v>
      </c>
      <c r="D9" s="185"/>
      <c r="E9" s="185"/>
      <c r="F9" s="115" t="s">
        <v>9</v>
      </c>
      <c r="G9" s="115"/>
      <c r="H9" s="111" t="s">
        <v>203</v>
      </c>
      <c r="I9" s="112" t="str">
        <f>MID(Notas!B6,41,3)</f>
        <v/>
      </c>
      <c r="J9" s="160" t="s">
        <v>10</v>
      </c>
      <c r="K9" s="160"/>
      <c r="L9" s="39" t="str">
        <f>LEFT(Notas!A9,8)</f>
        <v/>
      </c>
      <c r="M9" s="95"/>
    </row>
    <row r="10" spans="1:13" ht="8.6999999999999993" customHeight="1" x14ac:dyDescent="0.3">
      <c r="B10" s="93"/>
      <c r="C10" s="6"/>
      <c r="D10" s="41"/>
      <c r="E10" s="43"/>
      <c r="F10" s="43"/>
      <c r="G10" s="41"/>
      <c r="H10" s="65"/>
      <c r="I10" s="43"/>
      <c r="J10" s="42"/>
      <c r="K10" s="41"/>
      <c r="L10" s="41"/>
      <c r="M10" s="95"/>
    </row>
    <row r="11" spans="1:13" ht="18" customHeight="1" x14ac:dyDescent="0.3">
      <c r="B11" s="93"/>
      <c r="C11" s="125" t="s">
        <v>11</v>
      </c>
      <c r="D11" s="126"/>
      <c r="E11" s="136" t="s">
        <v>12</v>
      </c>
      <c r="F11" s="137"/>
      <c r="G11" s="36" t="s">
        <v>11</v>
      </c>
      <c r="H11" s="136" t="s">
        <v>13</v>
      </c>
      <c r="I11" s="137"/>
      <c r="J11" s="38" t="s">
        <v>14</v>
      </c>
      <c r="K11" s="37" t="s">
        <v>15</v>
      </c>
      <c r="L11" s="37" t="s">
        <v>16</v>
      </c>
      <c r="M11" s="95"/>
    </row>
    <row r="12" spans="1:13" ht="14.25" customHeight="1" x14ac:dyDescent="0.3">
      <c r="B12" s="93"/>
      <c r="C12" s="156" t="s">
        <v>17</v>
      </c>
      <c r="D12" s="48" t="s">
        <v>18</v>
      </c>
      <c r="E12" s="122" t="s">
        <v>19</v>
      </c>
      <c r="F12" s="123"/>
      <c r="G12" s="49" t="str">
        <f>IF($L$9="","",IFERROR(VLOOKUP(IFERROR(VLOOKUP(D12,Notas!B:B,1,FALSE),VLOOKUP(D12,Equivalencia!A:F,5,FALSE)),Notas!B:B,1,FALSE),VLOOKUP(D12,Equivalencia!A:H,8,FALSE)))</f>
        <v/>
      </c>
      <c r="H12" s="122" t="str">
        <f>IFERROR(IF($L$9="","",IFERROR(IFERROR(VLOOKUP(G12,Equivalencia!A:B,2,FALSE),VLOOKUP(G12,Equivalencia!E:F,2,FALSE)),VLOOKUP(G12,Equivalencia!H:I,2,FALSE))),"")</f>
        <v/>
      </c>
      <c r="I12" s="123"/>
      <c r="J12" s="50">
        <v>2</v>
      </c>
      <c r="K12" s="51" t="str">
        <f>IFERROR(VLOOKUP(G12,Notas!B:K,8,FALSE)/1000,"")</f>
        <v/>
      </c>
      <c r="L12" s="52" t="str">
        <f>IFERROR(IF(VLOOKUP(G12,Notas!B:K,9,FALSE)=".000","",VLOOKUP(G12,Notas!B:K,9,FALSE)/1000),"")</f>
        <v/>
      </c>
      <c r="M12" s="95"/>
    </row>
    <row r="13" spans="1:13" ht="14.25" customHeight="1" x14ac:dyDescent="0.3">
      <c r="B13" s="93"/>
      <c r="C13" s="154"/>
      <c r="D13" s="53" t="s">
        <v>20</v>
      </c>
      <c r="E13" s="118" t="s">
        <v>21</v>
      </c>
      <c r="F13" s="119"/>
      <c r="G13" s="54" t="str">
        <f>IF($L$9="","",IFERROR(VLOOKUP(IFERROR(VLOOKUP(D13,Notas!B:B,1,FALSE),VLOOKUP(D13,Equivalencia!A:F,5,FALSE)),Notas!B:B,1,FALSE),VLOOKUP(D13,Equivalencia!A:H,8,FALSE)))</f>
        <v/>
      </c>
      <c r="H13" s="118" t="str">
        <f>IFERROR(IF($L$9="","",IFERROR(IFERROR(VLOOKUP(G13,Equivalencia!A:B,2,FALSE),VLOOKUP(G13,Equivalencia!E:F,2,FALSE)),VLOOKUP(G13,Equivalencia!H:I,2,FALSE))),"")</f>
        <v/>
      </c>
      <c r="I13" s="119"/>
      <c r="J13" s="55">
        <v>4</v>
      </c>
      <c r="K13" s="56" t="str">
        <f>IFERROR(VLOOKUP(G13,Notas!B:K,8,FALSE)/1000,"")</f>
        <v/>
      </c>
      <c r="L13" s="57" t="str">
        <f>IFERROR(IF(VLOOKUP(G13,Notas!B:K,9,FALSE)=".000","",VLOOKUP(G13,Notas!B:K,9,FALSE)/1000),"")</f>
        <v/>
      </c>
      <c r="M13" s="95"/>
    </row>
    <row r="14" spans="1:13" ht="14.25" customHeight="1" x14ac:dyDescent="0.3">
      <c r="B14" s="93"/>
      <c r="C14" s="154"/>
      <c r="D14" s="53" t="s">
        <v>22</v>
      </c>
      <c r="E14" s="118" t="s">
        <v>23</v>
      </c>
      <c r="F14" s="119"/>
      <c r="G14" s="54" t="str">
        <f>IF($L$9="","",IFERROR(VLOOKUP(IFERROR(VLOOKUP(D14,Notas!B:B,1,FALSE),VLOOKUP(D14,Equivalencia!A:F,5,FALSE)),Notas!B:B,1,FALSE),VLOOKUP(D14,Equivalencia!A:H,8,FALSE)))</f>
        <v/>
      </c>
      <c r="H14" s="118" t="str">
        <f>IFERROR(IF($L$9="","",IFERROR(IFERROR(VLOOKUP(G14,Equivalencia!A:B,2,FALSE),VLOOKUP(G14,Equivalencia!E:F,2,FALSE)),VLOOKUP(G14,Equivalencia!H:I,2,FALSE))),"")</f>
        <v/>
      </c>
      <c r="I14" s="119"/>
      <c r="J14" s="55">
        <v>4</v>
      </c>
      <c r="K14" s="56" t="str">
        <f>IFERROR(VLOOKUP(G14,Notas!B:K,8,FALSE)/1000,"")</f>
        <v/>
      </c>
      <c r="L14" s="57" t="str">
        <f>IFERROR(IF(VLOOKUP(G14,Notas!B:K,9,FALSE)=".000","",VLOOKUP(G14,Notas!B:K,9,FALSE)/1000),"")</f>
        <v/>
      </c>
      <c r="M14" s="95"/>
    </row>
    <row r="15" spans="1:13" ht="14.25" customHeight="1" x14ac:dyDescent="0.3">
      <c r="B15" s="93"/>
      <c r="C15" s="154"/>
      <c r="D15" s="53" t="s">
        <v>24</v>
      </c>
      <c r="E15" s="118" t="s">
        <v>25</v>
      </c>
      <c r="F15" s="119"/>
      <c r="G15" s="54" t="str">
        <f>IF($L$9="","",IFERROR(VLOOKUP(IFERROR(VLOOKUP(D15,Notas!B:B,1,FALSE),VLOOKUP(D15,Equivalencia!A:F,5,FALSE)),Notas!B:B,1,FALSE),VLOOKUP(D15,Equivalencia!A:H,8,FALSE)))</f>
        <v/>
      </c>
      <c r="H15" s="118" t="str">
        <f>IFERROR(IF($L$9="","",IFERROR(IFERROR(VLOOKUP(G15,Equivalencia!A:B,2,FALSE),VLOOKUP(G15,Equivalencia!E:F,2,FALSE)),VLOOKUP(G15,Equivalencia!H:I,2,FALSE))),"")</f>
        <v/>
      </c>
      <c r="I15" s="119"/>
      <c r="J15" s="55">
        <v>3</v>
      </c>
      <c r="K15" s="56" t="str">
        <f>IFERROR(VLOOKUP(G15,Notas!B:K,8,FALSE)/1000,"")</f>
        <v/>
      </c>
      <c r="L15" s="57" t="str">
        <f>IFERROR(IF(VLOOKUP(G15,Notas!B:K,9,FALSE)=".000","",VLOOKUP(G15,Notas!B:K,9,FALSE)/1000),"")</f>
        <v/>
      </c>
      <c r="M15" s="95"/>
    </row>
    <row r="16" spans="1:13" ht="14.25" customHeight="1" x14ac:dyDescent="0.3">
      <c r="B16" s="93"/>
      <c r="C16" s="154"/>
      <c r="D16" s="53" t="s">
        <v>26</v>
      </c>
      <c r="E16" s="118" t="s">
        <v>27</v>
      </c>
      <c r="F16" s="119"/>
      <c r="G16" s="54" t="str">
        <f>IF($L$9="","",IFERROR(VLOOKUP(IFERROR(VLOOKUP(D16,Notas!B:B,1,FALSE),VLOOKUP(D16,Equivalencia!A:F,5,FALSE)),Notas!B:B,1,FALSE),VLOOKUP(D16,Equivalencia!A:H,8,FALSE)))</f>
        <v/>
      </c>
      <c r="H16" s="118" t="str">
        <f>IFERROR(IF($L$9="","",IFERROR(IFERROR(VLOOKUP(G16,Equivalencia!A:B,2,FALSE),VLOOKUP(G16,Equivalencia!E:F,2,FALSE)),VLOOKUP(G16,Equivalencia!H:I,2,FALSE))),"")</f>
        <v/>
      </c>
      <c r="I16" s="119"/>
      <c r="J16" s="55">
        <v>3</v>
      </c>
      <c r="K16" s="56" t="str">
        <f>IFERROR(VLOOKUP(G16,Notas!B:K,8,FALSE)/1000,"")</f>
        <v/>
      </c>
      <c r="L16" s="57" t="str">
        <f>IFERROR(IF(VLOOKUP(G16,Notas!B:K,9,FALSE)=".000","",VLOOKUP(G16,Notas!B:K,9,FALSE)/1000),"")</f>
        <v/>
      </c>
      <c r="M16" s="95"/>
    </row>
    <row r="17" spans="2:13" ht="14.25" customHeight="1" x14ac:dyDescent="0.3">
      <c r="B17" s="93"/>
      <c r="C17" s="154"/>
      <c r="D17" s="53" t="s">
        <v>28</v>
      </c>
      <c r="E17" s="118" t="s">
        <v>29</v>
      </c>
      <c r="F17" s="119"/>
      <c r="G17" s="54" t="str">
        <f>IF($L$9="","",IFERROR(VLOOKUP(IFERROR(VLOOKUP(D17,Notas!B:B,1,FALSE),VLOOKUP(D17,Equivalencia!A:F,5,FALSE)),Notas!B:B,1,FALSE),VLOOKUP(D17,Equivalencia!A:H,8,FALSE)))</f>
        <v/>
      </c>
      <c r="H17" s="118" t="str">
        <f>IFERROR(IF($L$9="","",IFERROR(IFERROR(VLOOKUP(G17,Equivalencia!A:B,2,FALSE),VLOOKUP(G17,Equivalencia!E:F,2,FALSE)),VLOOKUP(G17,Equivalencia!H:I,2,FALSE))),"")</f>
        <v/>
      </c>
      <c r="I17" s="119"/>
      <c r="J17" s="55">
        <v>2</v>
      </c>
      <c r="K17" s="56" t="str">
        <f>IFERROR(VLOOKUP(G17,Notas!B:K,8,FALSE)/1000,"")</f>
        <v/>
      </c>
      <c r="L17" s="57" t="str">
        <f>IFERROR(IF(VLOOKUP(G17,Notas!B:K,9,FALSE)=".000","",VLOOKUP(G17,Notas!B:K,9,FALSE)/1000),"")</f>
        <v/>
      </c>
      <c r="M17" s="95"/>
    </row>
    <row r="18" spans="2:13" ht="14.25" customHeight="1" x14ac:dyDescent="0.3">
      <c r="B18" s="93"/>
      <c r="C18" s="154"/>
      <c r="D18" s="53" t="s">
        <v>30</v>
      </c>
      <c r="E18" s="118" t="s">
        <v>31</v>
      </c>
      <c r="F18" s="119"/>
      <c r="G18" s="54" t="str">
        <f>IF($L$9="","",IFERROR(VLOOKUP(IFERROR(VLOOKUP(D18,Notas!B:B,1,FALSE),VLOOKUP(D18,Equivalencia!A:F,5,FALSE)),Notas!B:B,1,FALSE),VLOOKUP(D18,Equivalencia!A:H,8,FALSE)))</f>
        <v/>
      </c>
      <c r="H18" s="118" t="str">
        <f>IFERROR(IF($L$9="","",IFERROR(IFERROR(VLOOKUP(G18,Equivalencia!A:B,2,FALSE),VLOOKUP(G18,Equivalencia!E:F,2,FALSE)),VLOOKUP(G18,Equivalencia!H:I,2,FALSE))),"")</f>
        <v/>
      </c>
      <c r="I18" s="119"/>
      <c r="J18" s="55">
        <v>4</v>
      </c>
      <c r="K18" s="56" t="str">
        <f>IFERROR(VLOOKUP(G18,Notas!B:K,8,FALSE)/1000,"")</f>
        <v/>
      </c>
      <c r="L18" s="57" t="str">
        <f>IFERROR(IF(VLOOKUP(G18,Notas!B:K,9,FALSE)=".000","",VLOOKUP(G18,Notas!B:K,9,FALSE)/1000),"")</f>
        <v/>
      </c>
      <c r="M18" s="95"/>
    </row>
    <row r="19" spans="2:13" ht="14.25" customHeight="1" x14ac:dyDescent="0.3">
      <c r="B19" s="93"/>
      <c r="C19" s="155"/>
      <c r="D19" s="58" t="s">
        <v>32</v>
      </c>
      <c r="E19" s="120" t="s">
        <v>33</v>
      </c>
      <c r="F19" s="121"/>
      <c r="G19" s="59" t="str">
        <f>IF($L$9="","",IFERROR(VLOOKUP(IFERROR(VLOOKUP(D19,Notas!B:B,1,FALSE),VLOOKUP(D19,Equivalencia!A:F,5,FALSE)),Notas!B:B,1,FALSE),VLOOKUP(D19,Equivalencia!A:H,8,FALSE)))</f>
        <v/>
      </c>
      <c r="H19" s="120" t="str">
        <f>IFERROR(IF($L$9="","",IFERROR(IFERROR(VLOOKUP(G19,Equivalencia!A:B,2,FALSE),VLOOKUP(G19,Equivalencia!E:F,2,FALSE)),VLOOKUP(G19,Equivalencia!H:I,2,FALSE))),"")</f>
        <v/>
      </c>
      <c r="I19" s="121"/>
      <c r="J19" s="60">
        <v>1</v>
      </c>
      <c r="K19" s="61" t="str">
        <f>IFERROR(VLOOKUP(G19,Notas!B:K,8,FALSE)/1000,"")</f>
        <v/>
      </c>
      <c r="L19" s="62" t="str">
        <f>IFERROR(IF(VLOOKUP(G19,Notas!B:K,9,FALSE)=".000","",VLOOKUP(G19,Notas!B:K,9,FALSE)/1000),"")</f>
        <v/>
      </c>
      <c r="M19" s="95"/>
    </row>
    <row r="20" spans="2:13" ht="14.25" customHeight="1" x14ac:dyDescent="0.3">
      <c r="B20" s="93"/>
      <c r="C20" s="154" t="s">
        <v>34</v>
      </c>
      <c r="D20" s="48" t="s">
        <v>35</v>
      </c>
      <c r="E20" s="122" t="s">
        <v>36</v>
      </c>
      <c r="F20" s="123"/>
      <c r="G20" s="49" t="str">
        <f>IF($L$9="","",IFERROR(VLOOKUP(IFERROR(VLOOKUP(D20,Notas!B:B,1,FALSE),VLOOKUP(D20,Equivalencia!A:F,5,FALSE)),Notas!B:B,1,FALSE),VLOOKUP(D20,Equivalencia!A:H,8,FALSE)))</f>
        <v/>
      </c>
      <c r="H20" s="122" t="str">
        <f>IFERROR(IF($L$9="","",IFERROR(IFERROR(VLOOKUP(G20,Equivalencia!A:B,2,FALSE),VLOOKUP(G20,Equivalencia!E:F,2,FALSE)),VLOOKUP(G20,Equivalencia!H:I,2,FALSE))),"")</f>
        <v/>
      </c>
      <c r="I20" s="123"/>
      <c r="J20" s="50">
        <v>1</v>
      </c>
      <c r="K20" s="51" t="str">
        <f>IFERROR(VLOOKUP(G20,Notas!B:K,8,FALSE)/1000,"")</f>
        <v/>
      </c>
      <c r="L20" s="52" t="str">
        <f>IFERROR(IF(VLOOKUP(G20,Notas!B:K,9,FALSE)=".000","",VLOOKUP(G20,Notas!B:K,9,FALSE)/1000),"")</f>
        <v/>
      </c>
      <c r="M20" s="95"/>
    </row>
    <row r="21" spans="2:13" ht="14.25" customHeight="1" x14ac:dyDescent="0.3">
      <c r="B21" s="93"/>
      <c r="C21" s="154"/>
      <c r="D21" s="53" t="s">
        <v>37</v>
      </c>
      <c r="E21" s="118" t="s">
        <v>38</v>
      </c>
      <c r="F21" s="119"/>
      <c r="G21" s="54" t="str">
        <f>IF($L$9="","",IFERROR(VLOOKUP(IFERROR(VLOOKUP(D21,Notas!B:B,1,FALSE),VLOOKUP(D21,Equivalencia!A:F,5,FALSE)),Notas!B:B,1,FALSE),VLOOKUP(D21,Equivalencia!A:H,8,FALSE)))</f>
        <v/>
      </c>
      <c r="H21" s="118" t="str">
        <f>IFERROR(IF($L$9="","",IFERROR(IFERROR(VLOOKUP(G21,Equivalencia!A:B,2,FALSE),VLOOKUP(G21,Equivalencia!E:F,2,FALSE)),VLOOKUP(G21,Equivalencia!H:I,2,FALSE))),"")</f>
        <v/>
      </c>
      <c r="I21" s="119"/>
      <c r="J21" s="55">
        <v>2</v>
      </c>
      <c r="K21" s="56" t="str">
        <f>IFERROR(VLOOKUP(G21,Notas!B:K,8,FALSE)/1000,"")</f>
        <v/>
      </c>
      <c r="L21" s="57" t="str">
        <f>IFERROR(IF(VLOOKUP(G21,Notas!B:K,9,FALSE)=".000","",VLOOKUP(G21,Notas!B:K,9,FALSE)/1000),"")</f>
        <v/>
      </c>
      <c r="M21" s="95"/>
    </row>
    <row r="22" spans="2:13" ht="14.25" customHeight="1" x14ac:dyDescent="0.3">
      <c r="B22" s="93"/>
      <c r="C22" s="154"/>
      <c r="D22" s="53" t="s">
        <v>39</v>
      </c>
      <c r="E22" s="118" t="s">
        <v>40</v>
      </c>
      <c r="F22" s="119"/>
      <c r="G22" s="54" t="str">
        <f>IF($L$9="","",IFERROR(VLOOKUP(IFERROR(VLOOKUP(D22,Notas!B:B,1,FALSE),VLOOKUP(D22,Equivalencia!A:F,5,FALSE)),Notas!B:B,1,FALSE),VLOOKUP(D22,Equivalencia!A:H,8,FALSE)))</f>
        <v/>
      </c>
      <c r="H22" s="118" t="str">
        <f>IFERROR(IF($L$9="","",IFERROR(IFERROR(VLOOKUP(G22,Equivalencia!A:B,2,FALSE),VLOOKUP(G22,Equivalencia!E:F,2,FALSE)),VLOOKUP(G22,Equivalencia!H:I,2,FALSE))),"")</f>
        <v/>
      </c>
      <c r="I22" s="119"/>
      <c r="J22" s="55">
        <v>2</v>
      </c>
      <c r="K22" s="56" t="str">
        <f>IFERROR(VLOOKUP(G22,Notas!B:K,8,FALSE)/1000,"")</f>
        <v/>
      </c>
      <c r="L22" s="57" t="str">
        <f>IFERROR(IF(VLOOKUP(G22,Notas!B:K,9,FALSE)=".000","",VLOOKUP(G22,Notas!B:K,9,FALSE)/1000),"")</f>
        <v/>
      </c>
      <c r="M22" s="95"/>
    </row>
    <row r="23" spans="2:13" ht="14.25" customHeight="1" x14ac:dyDescent="0.3">
      <c r="B23" s="93"/>
      <c r="C23" s="154"/>
      <c r="D23" s="53" t="s">
        <v>41</v>
      </c>
      <c r="E23" s="118" t="s">
        <v>42</v>
      </c>
      <c r="F23" s="119"/>
      <c r="G23" s="54" t="str">
        <f>IF($L$9="","",IFERROR(VLOOKUP(IFERROR(VLOOKUP(D23,Notas!B:B,1,FALSE),VLOOKUP(D23,Equivalencia!A:F,5,FALSE)),Notas!B:B,1,FALSE),VLOOKUP(D23,Equivalencia!A:H,8,FALSE)))</f>
        <v/>
      </c>
      <c r="H23" s="118" t="str">
        <f>IFERROR(IF($L$9="","",IFERROR(IFERROR(VLOOKUP(G23,Equivalencia!A:B,2,FALSE),VLOOKUP(G23,Equivalencia!E:F,2,FALSE)),VLOOKUP(G23,Equivalencia!H:I,2,FALSE))),"")</f>
        <v/>
      </c>
      <c r="I23" s="119"/>
      <c r="J23" s="55">
        <v>2</v>
      </c>
      <c r="K23" s="56" t="str">
        <f>IFERROR(VLOOKUP(G23,Notas!B:K,8,FALSE)/1000,"")</f>
        <v/>
      </c>
      <c r="L23" s="57" t="str">
        <f>IFERROR(IF(VLOOKUP(G23,Notas!B:K,9,FALSE)=".000","",VLOOKUP(G23,Notas!B:K,9,FALSE)/1000),"")</f>
        <v/>
      </c>
      <c r="M23" s="95"/>
    </row>
    <row r="24" spans="2:13" ht="14.25" customHeight="1" x14ac:dyDescent="0.3">
      <c r="B24" s="93"/>
      <c r="C24" s="154"/>
      <c r="D24" s="53" t="s">
        <v>43</v>
      </c>
      <c r="E24" s="118" t="s">
        <v>44</v>
      </c>
      <c r="F24" s="119"/>
      <c r="G24" s="54" t="str">
        <f>IF($L$9="","",IFERROR(VLOOKUP(IFERROR(VLOOKUP(D24,Notas!B:B,1,FALSE),VLOOKUP(D24,Equivalencia!A:F,5,FALSE)),Notas!B:B,1,FALSE),VLOOKUP(D24,Equivalencia!A:H,8,FALSE)))</f>
        <v/>
      </c>
      <c r="H24" s="118" t="str">
        <f>IFERROR(IF($L$9="","",IFERROR(IFERROR(VLOOKUP(G24,Equivalencia!A:B,2,FALSE),VLOOKUP(G24,Equivalencia!E:F,2,FALSE)),VLOOKUP(G24,Equivalencia!H:I,2,FALSE))),"")</f>
        <v/>
      </c>
      <c r="I24" s="119"/>
      <c r="J24" s="55">
        <v>2</v>
      </c>
      <c r="K24" s="56" t="str">
        <f>IFERROR(VLOOKUP(G24,Notas!B:K,8,FALSE)/1000,"")</f>
        <v/>
      </c>
      <c r="L24" s="57" t="str">
        <f>IFERROR(IF(VLOOKUP(G24,Notas!B:K,9,FALSE)=".000","",VLOOKUP(G24,Notas!B:K,9,FALSE)/1000),"")</f>
        <v/>
      </c>
      <c r="M24" s="95"/>
    </row>
    <row r="25" spans="2:13" ht="14.25" customHeight="1" x14ac:dyDescent="0.3">
      <c r="B25" s="93"/>
      <c r="C25" s="154"/>
      <c r="D25" s="53" t="s">
        <v>45</v>
      </c>
      <c r="E25" s="118" t="s">
        <v>46</v>
      </c>
      <c r="F25" s="119"/>
      <c r="G25" s="54" t="str">
        <f>IF($L$9="","",IFERROR(VLOOKUP(IFERROR(VLOOKUP(D25,Notas!B:B,1,FALSE),VLOOKUP(D25,Equivalencia!A:F,5,FALSE)),Notas!B:B,1,FALSE),VLOOKUP(D25,Equivalencia!A:H,8,FALSE)))</f>
        <v/>
      </c>
      <c r="H25" s="118" t="str">
        <f>IFERROR(IF($L$9="","",IFERROR(IFERROR(VLOOKUP(G25,Equivalencia!A:B,2,FALSE),VLOOKUP(G25,Equivalencia!E:F,2,FALSE)),VLOOKUP(G25,Equivalencia!H:I,2,FALSE))),"")</f>
        <v/>
      </c>
      <c r="I25" s="119"/>
      <c r="J25" s="55">
        <v>3</v>
      </c>
      <c r="K25" s="56" t="str">
        <f>IFERROR(VLOOKUP(G25,Notas!B:K,8,FALSE)/1000,"")</f>
        <v/>
      </c>
      <c r="L25" s="57" t="str">
        <f>IFERROR(IF(VLOOKUP(G25,Notas!B:K,9,FALSE)=".000","",VLOOKUP(G25,Notas!B:K,9,FALSE)/1000),"")</f>
        <v/>
      </c>
      <c r="M25" s="95"/>
    </row>
    <row r="26" spans="2:13" ht="14.25" customHeight="1" x14ac:dyDescent="0.3">
      <c r="B26" s="93"/>
      <c r="C26" s="154"/>
      <c r="D26" s="53" t="s">
        <v>47</v>
      </c>
      <c r="E26" s="118" t="s">
        <v>48</v>
      </c>
      <c r="F26" s="119"/>
      <c r="G26" s="54" t="str">
        <f>IF($L$9="","",IFERROR(VLOOKUP(IFERROR(VLOOKUP(D26,Notas!B:B,1,FALSE),VLOOKUP(D26,Equivalencia!A:F,5,FALSE)),Notas!B:B,1,FALSE),VLOOKUP(D26,Equivalencia!A:H,8,FALSE)))</f>
        <v/>
      </c>
      <c r="H26" s="118" t="str">
        <f>IFERROR(IF($L$9="","",IFERROR(IFERROR(VLOOKUP(G26,Equivalencia!A:B,2,FALSE),VLOOKUP(G26,Equivalencia!E:F,2,FALSE)),VLOOKUP(G26,Equivalencia!H:I,2,FALSE))),"")</f>
        <v/>
      </c>
      <c r="I26" s="119"/>
      <c r="J26" s="55">
        <v>2</v>
      </c>
      <c r="K26" s="56" t="str">
        <f>IFERROR(VLOOKUP(G26,Notas!B:K,8,FALSE)/1000,"")</f>
        <v/>
      </c>
      <c r="L26" s="57" t="str">
        <f>IFERROR(IF(VLOOKUP(G26,Notas!B:K,9,FALSE)=".000","",VLOOKUP(G26,Notas!B:K,9,FALSE)/1000),"")</f>
        <v/>
      </c>
      <c r="M26" s="95"/>
    </row>
    <row r="27" spans="2:13" ht="14.25" customHeight="1" x14ac:dyDescent="0.3">
      <c r="B27" s="93"/>
      <c r="C27" s="154"/>
      <c r="D27" s="53" t="s">
        <v>49</v>
      </c>
      <c r="E27" s="118" t="s">
        <v>50</v>
      </c>
      <c r="F27" s="119"/>
      <c r="G27" s="54" t="str">
        <f>IF($L$9="","",IFERROR(VLOOKUP(IFERROR(VLOOKUP(D27,Notas!B:B,1,FALSE),VLOOKUP(D27,Equivalencia!A:F,5,FALSE)),Notas!B:B,1,FALSE),VLOOKUP(D27,Equivalencia!A:H,8,FALSE)))</f>
        <v/>
      </c>
      <c r="H27" s="118" t="str">
        <f>IFERROR(IF($L$9="","",IFERROR(IFERROR(VLOOKUP(G27,Equivalencia!A:B,2,FALSE),VLOOKUP(G27,Equivalencia!E:F,2,FALSE)),VLOOKUP(G27,Equivalencia!H:I,2,FALSE))),"")</f>
        <v/>
      </c>
      <c r="I27" s="119"/>
      <c r="J27" s="55">
        <v>3</v>
      </c>
      <c r="K27" s="56" t="str">
        <f>IFERROR(VLOOKUP(G27,Notas!B:K,8,FALSE)/1000,"")</f>
        <v/>
      </c>
      <c r="L27" s="57" t="str">
        <f>IFERROR(IF(VLOOKUP(G27,Notas!B:K,9,FALSE)=".000","",VLOOKUP(G27,Notas!B:K,9,FALSE)/1000),"")</f>
        <v/>
      </c>
      <c r="M27" s="95"/>
    </row>
    <row r="28" spans="2:13" ht="14.25" customHeight="1" x14ac:dyDescent="0.3">
      <c r="B28" s="93"/>
      <c r="C28" s="154"/>
      <c r="D28" s="53" t="s">
        <v>51</v>
      </c>
      <c r="E28" s="118" t="s">
        <v>52</v>
      </c>
      <c r="F28" s="119"/>
      <c r="G28" s="54" t="str">
        <f>IF($L$9="","",IFERROR(VLOOKUP(IFERROR(VLOOKUP(D28,Notas!B:B,1,FALSE),VLOOKUP(D28,Equivalencia!A:F,5,FALSE)),Notas!B:B,1,FALSE),VLOOKUP(D28,Equivalencia!A:H,8,FALSE)))</f>
        <v/>
      </c>
      <c r="H28" s="118" t="str">
        <f>IFERROR(IF($L$9="","",IFERROR(IFERROR(VLOOKUP(G28,Equivalencia!A:B,2,FALSE),VLOOKUP(G28,Equivalencia!E:F,2,FALSE)),VLOOKUP(G28,Equivalencia!H:I,2,FALSE))),"")</f>
        <v/>
      </c>
      <c r="I28" s="119"/>
      <c r="J28" s="55">
        <v>2</v>
      </c>
      <c r="K28" s="56" t="str">
        <f>IFERROR(VLOOKUP(G28,Notas!B:K,8,FALSE)/1000,"")</f>
        <v/>
      </c>
      <c r="L28" s="57" t="str">
        <f>IFERROR(IF(VLOOKUP(G28,Notas!B:K,9,FALSE)=".000","",VLOOKUP(G28,Notas!B:K,9,FALSE)/1000),"")</f>
        <v/>
      </c>
      <c r="M28" s="95"/>
    </row>
    <row r="29" spans="2:13" ht="14.25" customHeight="1" x14ac:dyDescent="0.3">
      <c r="B29" s="93"/>
      <c r="C29" s="154"/>
      <c r="D29" s="53" t="s">
        <v>53</v>
      </c>
      <c r="E29" s="118" t="s">
        <v>54</v>
      </c>
      <c r="F29" s="119"/>
      <c r="G29" s="54" t="str">
        <f>IF($L$9="","",IFERROR(VLOOKUP(IFERROR(VLOOKUP(D29,Notas!B:B,1,FALSE),VLOOKUP(D29,Equivalencia!A:F,5,FALSE)),Notas!B:B,1,FALSE),VLOOKUP(D29,Equivalencia!A:H,8,FALSE)))</f>
        <v/>
      </c>
      <c r="H29" s="118" t="str">
        <f>IFERROR(IF($L$9="","",IFERROR(IFERROR(VLOOKUP(G29,Equivalencia!A:B,2,FALSE),VLOOKUP(G29,Equivalencia!E:F,2,FALSE)),VLOOKUP(G29,Equivalencia!H:I,2,FALSE))),"")</f>
        <v/>
      </c>
      <c r="I29" s="119"/>
      <c r="J29" s="55">
        <v>1</v>
      </c>
      <c r="K29" s="56" t="str">
        <f>IFERROR(VLOOKUP(G29,Notas!B:K,8,FALSE)/1000,"")</f>
        <v/>
      </c>
      <c r="L29" s="57" t="str">
        <f>IFERROR(IF(VLOOKUP(G29,Notas!B:K,9,FALSE)=".000","",VLOOKUP(G29,Notas!B:K,9,FALSE)/1000),"")</f>
        <v/>
      </c>
      <c r="M29" s="95"/>
    </row>
    <row r="30" spans="2:13" ht="14.25" customHeight="1" x14ac:dyDescent="0.3">
      <c r="B30" s="93"/>
      <c r="C30" s="154"/>
      <c r="D30" s="53" t="s">
        <v>55</v>
      </c>
      <c r="E30" s="118" t="s">
        <v>56</v>
      </c>
      <c r="F30" s="119"/>
      <c r="G30" s="54" t="str">
        <f>IF($L$9="","",IFERROR(VLOOKUP(IFERROR(VLOOKUP(D30,Notas!B:B,1,FALSE),VLOOKUP(D30,Equivalencia!A:F,5,FALSE)),Notas!B:B,1,FALSE),VLOOKUP(D30,Equivalencia!A:H,8,FALSE)))</f>
        <v/>
      </c>
      <c r="H30" s="118" t="str">
        <f>IFERROR(IF($L$9="","",IFERROR(IFERROR(VLOOKUP(G30,Equivalencia!A:B,2,FALSE),VLOOKUP(G30,Equivalencia!E:F,2,FALSE)),VLOOKUP(G30,Equivalencia!H:I,2,FALSE))),"")</f>
        <v/>
      </c>
      <c r="I30" s="119"/>
      <c r="J30" s="55">
        <v>1</v>
      </c>
      <c r="K30" s="56" t="str">
        <f>IFERROR(VLOOKUP(G30,Notas!B:K,8,FALSE)/1000,"")</f>
        <v/>
      </c>
      <c r="L30" s="57" t="str">
        <f>IFERROR(IF(VLOOKUP(G30,Notas!B:K,9,FALSE)=".000","",VLOOKUP(G30,Notas!B:K,9,FALSE)/1000),"")</f>
        <v/>
      </c>
      <c r="M30" s="95"/>
    </row>
    <row r="31" spans="2:13" ht="14.25" customHeight="1" x14ac:dyDescent="0.3">
      <c r="B31" s="93"/>
      <c r="C31" s="154"/>
      <c r="D31" s="53" t="s">
        <v>57</v>
      </c>
      <c r="E31" s="118" t="s">
        <v>58</v>
      </c>
      <c r="F31" s="119"/>
      <c r="G31" s="54" t="str">
        <f>IF($L$9="","",IFERROR(VLOOKUP(IFERROR(VLOOKUP(D31,Notas!B:B,1,FALSE),VLOOKUP(D31,Equivalencia!A:F,5,FALSE)),Notas!B:B,1,FALSE),VLOOKUP(D31,Equivalencia!A:H,8,FALSE)))</f>
        <v/>
      </c>
      <c r="H31" s="118" t="str">
        <f>IFERROR(IF($L$9="","",IFERROR(IFERROR(VLOOKUP(G31,Equivalencia!A:B,2,FALSE),VLOOKUP(G31,Equivalencia!E:F,2,FALSE)),VLOOKUP(G31,Equivalencia!H:I,2,FALSE))),"")</f>
        <v/>
      </c>
      <c r="I31" s="119"/>
      <c r="J31" s="55">
        <v>2</v>
      </c>
      <c r="K31" s="56" t="str">
        <f>IFERROR(VLOOKUP(G31,Notas!B:K,8,FALSE)/1000,"")</f>
        <v/>
      </c>
      <c r="L31" s="57" t="str">
        <f>IFERROR(IF(VLOOKUP(G31,Notas!B:K,9,FALSE)=".000","",VLOOKUP(G31,Notas!B:K,9,FALSE)/1000),"")</f>
        <v/>
      </c>
      <c r="M31" s="95"/>
    </row>
    <row r="32" spans="2:13" ht="14.25" customHeight="1" x14ac:dyDescent="0.3">
      <c r="B32" s="93"/>
      <c r="C32" s="154"/>
      <c r="D32" s="53" t="s">
        <v>59</v>
      </c>
      <c r="E32" s="118" t="s">
        <v>60</v>
      </c>
      <c r="F32" s="119"/>
      <c r="G32" s="54" t="str">
        <f>IF($L$9="","",IFERROR(VLOOKUP(IFERROR(VLOOKUP(D32,Notas!B:B,1,FALSE),VLOOKUP(D32,Equivalencia!A:F,5,FALSE)),Notas!B:B,1,FALSE),VLOOKUP(D32,Equivalencia!A:H,8,FALSE)))</f>
        <v/>
      </c>
      <c r="H32" s="118" t="str">
        <f>IFERROR(IF($L$9="","",IFERROR(IFERROR(VLOOKUP(G32,Equivalencia!A:B,2,FALSE),VLOOKUP(G32,Equivalencia!E:F,2,FALSE)),VLOOKUP(G32,Equivalencia!H:I,2,FALSE))),"")</f>
        <v/>
      </c>
      <c r="I32" s="119"/>
      <c r="J32" s="55">
        <v>2</v>
      </c>
      <c r="K32" s="56" t="str">
        <f>IFERROR(VLOOKUP(G32,Notas!B:K,8,FALSE)/1000,"")</f>
        <v/>
      </c>
      <c r="L32" s="57" t="str">
        <f>IFERROR(IF(VLOOKUP(G32,Notas!B:K,9,FALSE)=".000","",VLOOKUP(G32,Notas!B:K,9,FALSE)/1000),"")</f>
        <v/>
      </c>
      <c r="M32" s="95"/>
    </row>
    <row r="33" spans="2:13" ht="14.25" customHeight="1" x14ac:dyDescent="0.3">
      <c r="B33" s="93"/>
      <c r="C33" s="154"/>
      <c r="D33" s="53" t="s">
        <v>61</v>
      </c>
      <c r="E33" s="118" t="s">
        <v>62</v>
      </c>
      <c r="F33" s="119"/>
      <c r="G33" s="54" t="str">
        <f>IF($L$9="","",IFERROR(VLOOKUP(IFERROR(VLOOKUP(D33,Notas!B:B,1,FALSE),VLOOKUP(D33,Equivalencia!A:F,5,FALSE)),Notas!B:B,1,FALSE),VLOOKUP(D33,Equivalencia!A:H,8,FALSE)))</f>
        <v/>
      </c>
      <c r="H33" s="118" t="str">
        <f>IFERROR(IF($L$9="","",IFERROR(IFERROR(VLOOKUP(G33,Equivalencia!A:B,2,FALSE),VLOOKUP(G33,Equivalencia!E:F,2,FALSE)),VLOOKUP(G33,Equivalencia!H:I,2,FALSE))),"")</f>
        <v/>
      </c>
      <c r="I33" s="119"/>
      <c r="J33" s="55">
        <v>2</v>
      </c>
      <c r="K33" s="56" t="str">
        <f>IFERROR(VLOOKUP(G33,Notas!B:K,8,FALSE)/1000,"")</f>
        <v/>
      </c>
      <c r="L33" s="57" t="str">
        <f>IFERROR(IF(VLOOKUP(G33,Notas!B:K,9,FALSE)=".000","",VLOOKUP(G33,Notas!B:K,9,FALSE)/1000),"")</f>
        <v/>
      </c>
      <c r="M33" s="95"/>
    </row>
    <row r="34" spans="2:13" ht="14.25" customHeight="1" x14ac:dyDescent="0.3">
      <c r="B34" s="93"/>
      <c r="C34" s="154"/>
      <c r="D34" s="53" t="s">
        <v>63</v>
      </c>
      <c r="E34" s="118" t="s">
        <v>64</v>
      </c>
      <c r="F34" s="119"/>
      <c r="G34" s="54" t="str">
        <f>IF($L$9="","",IFERROR(VLOOKUP(IFERROR(VLOOKUP(D34,Notas!B:B,1,FALSE),VLOOKUP(D34,Equivalencia!A:F,5,FALSE)),Notas!B:B,1,FALSE),VLOOKUP(D34,Equivalencia!A:H,8,FALSE)))</f>
        <v/>
      </c>
      <c r="H34" s="118" t="str">
        <f>IFERROR(IF($L$9="","",IFERROR(IFERROR(VLOOKUP(G34,Equivalencia!A:B,2,FALSE),VLOOKUP(G34,Equivalencia!E:F,2,FALSE)),VLOOKUP(G34,Equivalencia!H:I,2,FALSE))),"")</f>
        <v/>
      </c>
      <c r="I34" s="119"/>
      <c r="J34" s="55">
        <v>2</v>
      </c>
      <c r="K34" s="56" t="str">
        <f>IFERROR(VLOOKUP(G34,Notas!B:K,8,FALSE)/1000,"")</f>
        <v/>
      </c>
      <c r="L34" s="57" t="str">
        <f>IFERROR(IF(VLOOKUP(G34,Notas!B:K,9,FALSE)=".000","",VLOOKUP(G34,Notas!B:K,9,FALSE)/1000),"")</f>
        <v/>
      </c>
      <c r="M34" s="95"/>
    </row>
    <row r="35" spans="2:13" ht="14.25" customHeight="1" x14ac:dyDescent="0.3">
      <c r="B35" s="93"/>
      <c r="C35" s="154"/>
      <c r="D35" s="53" t="s">
        <v>65</v>
      </c>
      <c r="E35" s="118" t="s">
        <v>66</v>
      </c>
      <c r="F35" s="119"/>
      <c r="G35" s="54" t="str">
        <f>IF($L$9="","",IFERROR(VLOOKUP(IFERROR(VLOOKUP(D35,Notas!B:B,1,FALSE),VLOOKUP(D35,Equivalencia!A:F,5,FALSE)),Notas!B:B,1,FALSE),VLOOKUP(D35,Equivalencia!A:H,8,FALSE)))</f>
        <v/>
      </c>
      <c r="H35" s="118" t="str">
        <f>IFERROR(IF($L$9="","",IFERROR(IFERROR(VLOOKUP(G35,Equivalencia!A:B,2,FALSE),VLOOKUP(G35,Equivalencia!E:F,2,FALSE)),VLOOKUP(G35,Equivalencia!H:I,2,FALSE))),"")</f>
        <v/>
      </c>
      <c r="I35" s="119"/>
      <c r="J35" s="55">
        <v>2</v>
      </c>
      <c r="K35" s="56" t="str">
        <f>IFERROR(VLOOKUP(G35,Notas!B:K,8,FALSE)/1000,"")</f>
        <v/>
      </c>
      <c r="L35" s="57" t="str">
        <f>IFERROR(IF(VLOOKUP(G35,Notas!B:K,9,FALSE)=".000","",VLOOKUP(G35,Notas!B:K,9,FALSE)/1000),"")</f>
        <v/>
      </c>
      <c r="M35" s="95"/>
    </row>
    <row r="36" spans="2:13" ht="14.25" customHeight="1" x14ac:dyDescent="0.3">
      <c r="B36" s="93"/>
      <c r="C36" s="154"/>
      <c r="D36" s="53" t="s">
        <v>67</v>
      </c>
      <c r="E36" s="118" t="s">
        <v>68</v>
      </c>
      <c r="F36" s="119"/>
      <c r="G36" s="54" t="str">
        <f>IF($L$9="","",IFERROR(VLOOKUP(IFERROR(VLOOKUP(D36,Notas!B:B,1,FALSE),VLOOKUP(D36,Equivalencia!A:F,5,FALSE)),Notas!B:B,1,FALSE),VLOOKUP(D36,Equivalencia!A:H,8,FALSE)))</f>
        <v/>
      </c>
      <c r="H36" s="118" t="str">
        <f>IFERROR(IF($L$9="","",IFERROR(IFERROR(VLOOKUP(G36,Equivalencia!A:B,2,FALSE),VLOOKUP(G36,Equivalencia!E:F,2,FALSE)),VLOOKUP(G36,Equivalencia!H:I,2,FALSE))),"")</f>
        <v/>
      </c>
      <c r="I36" s="119"/>
      <c r="J36" s="55">
        <v>2</v>
      </c>
      <c r="K36" s="56" t="str">
        <f>IFERROR(VLOOKUP(G36,Notas!B:K,8,FALSE)/1000,"")</f>
        <v/>
      </c>
      <c r="L36" s="57" t="str">
        <f>IFERROR(IF(VLOOKUP(G36,Notas!B:K,9,FALSE)=".000","",VLOOKUP(G36,Notas!B:K,9,FALSE)/1000),"")</f>
        <v/>
      </c>
      <c r="M36" s="95"/>
    </row>
    <row r="37" spans="2:13" ht="14.25" customHeight="1" x14ac:dyDescent="0.3">
      <c r="B37" s="93"/>
      <c r="C37" s="154"/>
      <c r="D37" s="53" t="s">
        <v>69</v>
      </c>
      <c r="E37" s="118" t="s">
        <v>70</v>
      </c>
      <c r="F37" s="119"/>
      <c r="G37" s="54" t="str">
        <f>IF($L$9="","",IFERROR(VLOOKUP(IFERROR(VLOOKUP(D37,Notas!B:B,1,FALSE),VLOOKUP(D37,Equivalencia!A:F,5,FALSE)),Notas!B:B,1,FALSE),VLOOKUP(D37,Equivalencia!A:H,8,FALSE)))</f>
        <v/>
      </c>
      <c r="H37" s="118" t="str">
        <f>IFERROR(IF($L$9="","",IFERROR(IFERROR(VLOOKUP(G37,Equivalencia!A:B,2,FALSE),VLOOKUP(G37,Equivalencia!E:F,2,FALSE)),VLOOKUP(G37,Equivalencia!H:I,2,FALSE))),"")</f>
        <v/>
      </c>
      <c r="I37" s="119"/>
      <c r="J37" s="55">
        <v>2</v>
      </c>
      <c r="K37" s="56" t="str">
        <f>IFERROR(VLOOKUP(G37,Notas!B:K,8,FALSE)/1000,"")</f>
        <v/>
      </c>
      <c r="L37" s="57" t="str">
        <f>IFERROR(IF(VLOOKUP(G37,Notas!B:K,9,FALSE)=".000","",VLOOKUP(G37,Notas!B:K,9,FALSE)/1000),"")</f>
        <v/>
      </c>
      <c r="M37" s="95"/>
    </row>
    <row r="38" spans="2:13" ht="14.25" customHeight="1" x14ac:dyDescent="0.3">
      <c r="B38" s="93"/>
      <c r="C38" s="154"/>
      <c r="D38" s="53" t="s">
        <v>71</v>
      </c>
      <c r="E38" s="118" t="s">
        <v>72</v>
      </c>
      <c r="F38" s="119"/>
      <c r="G38" s="54" t="str">
        <f>IF($L$9="","",IFERROR(VLOOKUP(IFERROR(VLOOKUP(D38,Notas!B:B,1,FALSE),VLOOKUP(D38,Equivalencia!A:F,5,FALSE)),Notas!B:B,1,FALSE),VLOOKUP(D38,Equivalencia!A:H,8,FALSE)))</f>
        <v/>
      </c>
      <c r="H38" s="118" t="str">
        <f>IFERROR(IF($L$9="","",IFERROR(IFERROR(VLOOKUP(G38,Equivalencia!A:B,2,FALSE),VLOOKUP(G38,Equivalencia!E:F,2,FALSE)),VLOOKUP(G38,Equivalencia!H:I,2,FALSE))),"")</f>
        <v/>
      </c>
      <c r="I38" s="119"/>
      <c r="J38" s="55">
        <v>2</v>
      </c>
      <c r="K38" s="56" t="str">
        <f>IFERROR(VLOOKUP(G38,Notas!B:K,8,FALSE)/1000,"")</f>
        <v/>
      </c>
      <c r="L38" s="57" t="str">
        <f>IFERROR(IF(VLOOKUP(G38,Notas!B:K,9,FALSE)=".000","",VLOOKUP(G38,Notas!B:K,9,FALSE)/1000),"")</f>
        <v/>
      </c>
      <c r="M38" s="95"/>
    </row>
    <row r="39" spans="2:13" ht="14.25" customHeight="1" x14ac:dyDescent="0.3">
      <c r="B39" s="93"/>
      <c r="C39" s="154"/>
      <c r="D39" s="53" t="s">
        <v>73</v>
      </c>
      <c r="E39" s="118" t="s">
        <v>74</v>
      </c>
      <c r="F39" s="119"/>
      <c r="G39" s="54" t="str">
        <f>IF($L$9="","",IFERROR(VLOOKUP(IFERROR(VLOOKUP(D39,Notas!B:B,1,FALSE),VLOOKUP(D39,Equivalencia!A:F,5,FALSE)),Notas!B:B,1,FALSE),VLOOKUP(D39,Equivalencia!A:H,8,FALSE)))</f>
        <v/>
      </c>
      <c r="H39" s="118" t="str">
        <f>IFERROR(IF($L$9="","",IFERROR(IFERROR(VLOOKUP(G39,Equivalencia!A:B,2,FALSE),VLOOKUP(G39,Equivalencia!E:F,2,FALSE)),VLOOKUP(G39,Equivalencia!H:I,2,FALSE))),"")</f>
        <v/>
      </c>
      <c r="I39" s="119"/>
      <c r="J39" s="55">
        <v>1</v>
      </c>
      <c r="K39" s="56" t="str">
        <f>IFERROR(VLOOKUP(G39,Notas!B:K,8,FALSE)/1000,"")</f>
        <v/>
      </c>
      <c r="L39" s="57" t="str">
        <f>IFERROR(IF(VLOOKUP(G39,Notas!B:K,9,FALSE)=".000","",VLOOKUP(G39,Notas!B:K,9,FALSE)/1000),"")</f>
        <v/>
      </c>
      <c r="M39" s="95"/>
    </row>
    <row r="40" spans="2:13" ht="14.25" customHeight="1" x14ac:dyDescent="0.3">
      <c r="B40" s="93"/>
      <c r="C40" s="154"/>
      <c r="D40" s="53" t="s">
        <v>75</v>
      </c>
      <c r="E40" s="118" t="s">
        <v>76</v>
      </c>
      <c r="F40" s="119"/>
      <c r="G40" s="54" t="str">
        <f>IF($L$9="","",IFERROR(VLOOKUP(IFERROR(VLOOKUP(D40,Notas!B:B,1,FALSE),VLOOKUP(D40,Equivalencia!A:F,5,FALSE)),Notas!B:B,1,FALSE),VLOOKUP(D40,Equivalencia!A:H,8,FALSE)))</f>
        <v/>
      </c>
      <c r="H40" s="118" t="str">
        <f>IFERROR(IF($L$9="","",IFERROR(IFERROR(VLOOKUP(G40,Equivalencia!A:B,2,FALSE),VLOOKUP(G40,Equivalencia!E:F,2,FALSE)),VLOOKUP(G40,Equivalencia!H:I,2,FALSE))),"")</f>
        <v/>
      </c>
      <c r="I40" s="119"/>
      <c r="J40" s="55">
        <v>2</v>
      </c>
      <c r="K40" s="56" t="str">
        <f>IFERROR(VLOOKUP(G40,Notas!B:K,8,FALSE)/1000,"")</f>
        <v/>
      </c>
      <c r="L40" s="57" t="str">
        <f>IFERROR(IF(VLOOKUP(G40,Notas!B:K,9,FALSE)=".000","",VLOOKUP(G40,Notas!B:K,9,FALSE)/1000),"")</f>
        <v/>
      </c>
      <c r="M40" s="95"/>
    </row>
    <row r="41" spans="2:13" ht="14.25" customHeight="1" x14ac:dyDescent="0.3">
      <c r="B41" s="93"/>
      <c r="C41" s="154"/>
      <c r="D41" s="53" t="s">
        <v>77</v>
      </c>
      <c r="E41" s="118" t="s">
        <v>78</v>
      </c>
      <c r="F41" s="119"/>
      <c r="G41" s="54" t="str">
        <f>IF($L$9="","",IFERROR(VLOOKUP(IFERROR(VLOOKUP(D41,Notas!B:B,1,FALSE),VLOOKUP(D41,Equivalencia!A:F,5,FALSE)),Notas!B:B,1,FALSE),VLOOKUP(D41,Equivalencia!A:H,8,FALSE)))</f>
        <v/>
      </c>
      <c r="H41" s="118" t="str">
        <f>IFERROR(IF($L$9="","",IFERROR(IFERROR(VLOOKUP(G41,Equivalencia!A:B,2,FALSE),VLOOKUP(G41,Equivalencia!E:F,2,FALSE)),VLOOKUP(G41,Equivalencia!H:I,2,FALSE))),"")</f>
        <v/>
      </c>
      <c r="I41" s="119"/>
      <c r="J41" s="55">
        <v>2</v>
      </c>
      <c r="K41" s="56" t="str">
        <f>IFERROR(VLOOKUP(G41,Notas!B:K,8,FALSE)/1000,"")</f>
        <v/>
      </c>
      <c r="L41" s="57" t="str">
        <f>IFERROR(IF(VLOOKUP(G41,Notas!B:K,9,FALSE)=".000","",VLOOKUP(G41,Notas!B:K,9,FALSE)/1000),"")</f>
        <v/>
      </c>
      <c r="M41" s="95"/>
    </row>
    <row r="42" spans="2:13" ht="14.25" customHeight="1" x14ac:dyDescent="0.3">
      <c r="B42" s="93"/>
      <c r="C42" s="155"/>
      <c r="D42" s="58" t="s">
        <v>79</v>
      </c>
      <c r="E42" s="120" t="s">
        <v>80</v>
      </c>
      <c r="F42" s="121"/>
      <c r="G42" s="59" t="str">
        <f>IF($L$9="","",IFERROR(VLOOKUP(IFERROR(VLOOKUP(D42,Notas!B:B,1,FALSE),VLOOKUP(D42,Equivalencia!A:F,5,FALSE)),Notas!B:B,1,FALSE),VLOOKUP(D42,Equivalencia!A:H,8,FALSE)))</f>
        <v/>
      </c>
      <c r="H42" s="120" t="str">
        <f>IFERROR(IF($L$9="","",IFERROR(IFERROR(VLOOKUP(G42,Equivalencia!A:B,2,FALSE),VLOOKUP(G42,Equivalencia!E:F,2,FALSE)),VLOOKUP(G42,Equivalencia!H:I,2,FALSE))),"")</f>
        <v/>
      </c>
      <c r="I42" s="121"/>
      <c r="J42" s="60">
        <v>2</v>
      </c>
      <c r="K42" s="61" t="str">
        <f>IFERROR(VLOOKUP(G42,Notas!B:K,8,FALSE)/1000,"")</f>
        <v/>
      </c>
      <c r="L42" s="62" t="str">
        <f>IFERROR(IF(VLOOKUP(G42,Notas!B:K,9,FALSE)=".000","",VLOOKUP(G42,Notas!B:K,9,FALSE)/1000),"")</f>
        <v/>
      </c>
      <c r="M42" s="95"/>
    </row>
    <row r="43" spans="2:13" ht="14.25" customHeight="1" x14ac:dyDescent="0.3">
      <c r="B43" s="93"/>
      <c r="C43" s="154" t="s">
        <v>81</v>
      </c>
      <c r="D43" s="48" t="s">
        <v>82</v>
      </c>
      <c r="E43" s="122" t="s">
        <v>83</v>
      </c>
      <c r="F43" s="123"/>
      <c r="G43" s="49" t="str">
        <f>IF($L$9="","",IFERROR(VLOOKUP(IFERROR(VLOOKUP(D43,Notas!B:B,1,FALSE),VLOOKUP(D43,Equivalencia!A:F,5,FALSE)),Notas!B:B,1,FALSE),VLOOKUP(D43,Equivalencia!A:H,8,FALSE)))</f>
        <v/>
      </c>
      <c r="H43" s="122" t="str">
        <f>IFERROR(IF($L$9="","",IFERROR(IFERROR(VLOOKUP(G43,Equivalencia!A:B,2,FALSE),VLOOKUP(G43,Equivalencia!E:F,2,FALSE)),VLOOKUP(G43,Equivalencia!H:I,2,FALSE))),"")</f>
        <v/>
      </c>
      <c r="I43" s="123"/>
      <c r="J43" s="50">
        <v>2</v>
      </c>
      <c r="K43" s="51" t="str">
        <f>IFERROR(VLOOKUP(G43,Notas!B:K,8,FALSE)/1000,"")</f>
        <v/>
      </c>
      <c r="L43" s="52" t="str">
        <f>IFERROR(IF(VLOOKUP(G43,Notas!B:K,9,FALSE)=".000","",VLOOKUP(G43,Notas!B:K,9,FALSE)/1000),"")</f>
        <v/>
      </c>
      <c r="M43" s="95"/>
    </row>
    <row r="44" spans="2:13" ht="14.25" customHeight="1" x14ac:dyDescent="0.3">
      <c r="B44" s="93"/>
      <c r="C44" s="154"/>
      <c r="D44" s="53" t="s">
        <v>84</v>
      </c>
      <c r="E44" s="118" t="s">
        <v>85</v>
      </c>
      <c r="F44" s="119"/>
      <c r="G44" s="54" t="str">
        <f>IF($L$9="","",IFERROR(VLOOKUP(IFERROR(VLOOKUP(D44,Notas!B:B,1,FALSE),VLOOKUP(D44,Equivalencia!A:F,5,FALSE)),Notas!B:B,1,FALSE),VLOOKUP(D44,Equivalencia!A:H,8,FALSE)))</f>
        <v/>
      </c>
      <c r="H44" s="118" t="str">
        <f>IFERROR(IF($L$9="","",IFERROR(IFERROR(VLOOKUP(G44,Equivalencia!A:B,2,FALSE),VLOOKUP(G44,Equivalencia!E:F,2,FALSE)),VLOOKUP(G44,Equivalencia!H:I,2,FALSE))),"")</f>
        <v/>
      </c>
      <c r="I44" s="119"/>
      <c r="J44" s="55">
        <v>2</v>
      </c>
      <c r="K44" s="56" t="str">
        <f>IFERROR(VLOOKUP(G44,Notas!B:K,8,FALSE)/1000,"")</f>
        <v/>
      </c>
      <c r="L44" s="57" t="str">
        <f>IFERROR(IF(VLOOKUP(G44,Notas!B:K,9,FALSE)=".000","",VLOOKUP(G44,Notas!B:K,9,FALSE)/1000),"")</f>
        <v/>
      </c>
      <c r="M44" s="95"/>
    </row>
    <row r="45" spans="2:13" ht="14.25" customHeight="1" x14ac:dyDescent="0.3">
      <c r="B45" s="93"/>
      <c r="C45" s="154"/>
      <c r="D45" s="53" t="s">
        <v>86</v>
      </c>
      <c r="E45" s="118" t="s">
        <v>87</v>
      </c>
      <c r="F45" s="119"/>
      <c r="G45" s="54" t="str">
        <f>IF($L$9="","",IFERROR(VLOOKUP(IFERROR(VLOOKUP(D45,Notas!B:B,1,FALSE),VLOOKUP(D45,Equivalencia!A:F,5,FALSE)),Notas!B:B,1,FALSE),VLOOKUP(D45,Equivalencia!A:H,8,FALSE)))</f>
        <v/>
      </c>
      <c r="H45" s="118" t="str">
        <f>IFERROR(IF($L$9="","",IFERROR(IFERROR(VLOOKUP(G45,Equivalencia!A:B,2,FALSE),VLOOKUP(G45,Equivalencia!E:F,2,FALSE)),VLOOKUP(G45,Equivalencia!H:I,2,FALSE))),"")</f>
        <v/>
      </c>
      <c r="I45" s="119"/>
      <c r="J45" s="55">
        <v>2</v>
      </c>
      <c r="K45" s="56" t="str">
        <f>IFERROR(VLOOKUP(G45,Notas!B:K,8,FALSE)/1000,"")</f>
        <v/>
      </c>
      <c r="L45" s="57" t="str">
        <f>IFERROR(IF(VLOOKUP(G45,Notas!B:K,9,FALSE)=".000","",VLOOKUP(G45,Notas!B:K,9,FALSE)/1000),"")</f>
        <v/>
      </c>
      <c r="M45" s="95"/>
    </row>
    <row r="46" spans="2:13" ht="14.25" customHeight="1" x14ac:dyDescent="0.3">
      <c r="B46" s="93"/>
      <c r="C46" s="154"/>
      <c r="D46" s="53" t="s">
        <v>88</v>
      </c>
      <c r="E46" s="118" t="s">
        <v>89</v>
      </c>
      <c r="F46" s="119"/>
      <c r="G46" s="54" t="str">
        <f>IF($L$9="","",IFERROR(VLOOKUP(IFERROR(VLOOKUP(D46,Notas!B:B,1,FALSE),VLOOKUP(D46,Equivalencia!A:F,5,FALSE)),Notas!B:B,1,FALSE),VLOOKUP(D46,Equivalencia!A:H,8,FALSE)))</f>
        <v/>
      </c>
      <c r="H46" s="118" t="str">
        <f>IFERROR(IF($L$9="","",IFERROR(IFERROR(VLOOKUP(G46,Equivalencia!A:B,2,FALSE),VLOOKUP(G46,Equivalencia!E:F,2,FALSE)),VLOOKUP(G46,Equivalencia!H:I,2,FALSE))),"")</f>
        <v/>
      </c>
      <c r="I46" s="119"/>
      <c r="J46" s="55">
        <v>2</v>
      </c>
      <c r="K46" s="56" t="str">
        <f>IFERROR(VLOOKUP(G46,Notas!B:K,8,FALSE)/1000,"")</f>
        <v/>
      </c>
      <c r="L46" s="57" t="str">
        <f>IFERROR(IF(VLOOKUP(G46,Notas!B:K,9,FALSE)=".000","",VLOOKUP(G46,Notas!B:K,9,FALSE)/1000),"")</f>
        <v/>
      </c>
      <c r="M46" s="95"/>
    </row>
    <row r="47" spans="2:13" ht="14.25" customHeight="1" x14ac:dyDescent="0.3">
      <c r="B47" s="93"/>
      <c r="C47" s="154"/>
      <c r="D47" s="53" t="s">
        <v>90</v>
      </c>
      <c r="E47" s="118" t="s">
        <v>91</v>
      </c>
      <c r="F47" s="119"/>
      <c r="G47" s="54" t="str">
        <f>IF($L$9="","",IFERROR(VLOOKUP(IFERROR(VLOOKUP(D47,Notas!B:B,1,FALSE),VLOOKUP(D47,Equivalencia!A:F,5,FALSE)),Notas!B:B,1,FALSE),VLOOKUP(D47,Equivalencia!A:H,8,FALSE)))</f>
        <v/>
      </c>
      <c r="H47" s="118" t="str">
        <f>IFERROR(IF($L$9="","",IFERROR(IFERROR(VLOOKUP(G47,Equivalencia!A:B,2,FALSE),VLOOKUP(G47,Equivalencia!E:F,2,FALSE)),VLOOKUP(G47,Equivalencia!H:I,2,FALSE))),"")</f>
        <v/>
      </c>
      <c r="I47" s="119"/>
      <c r="J47" s="55">
        <v>2</v>
      </c>
      <c r="K47" s="56" t="str">
        <f>IFERROR(VLOOKUP(G47,Notas!B:K,8,FALSE)/1000,"")</f>
        <v/>
      </c>
      <c r="L47" s="57" t="str">
        <f>IFERROR(IF(VLOOKUP(G47,Notas!B:K,9,FALSE)=".000","",VLOOKUP(G47,Notas!B:K,9,FALSE)/1000),"")</f>
        <v/>
      </c>
      <c r="M47" s="95"/>
    </row>
    <row r="48" spans="2:13" ht="14.25" customHeight="1" x14ac:dyDescent="0.3">
      <c r="B48" s="93"/>
      <c r="C48" s="154"/>
      <c r="D48" s="53" t="s">
        <v>92</v>
      </c>
      <c r="E48" s="118" t="s">
        <v>93</v>
      </c>
      <c r="F48" s="119"/>
      <c r="G48" s="54" t="str">
        <f>IF($L$9="","",IFERROR(VLOOKUP(IFERROR(VLOOKUP(D48,Notas!B:B,1,FALSE),VLOOKUP(D48,Equivalencia!A:F,5,FALSE)),Notas!B:B,1,FALSE),VLOOKUP(D48,Equivalencia!A:H,8,FALSE)))</f>
        <v/>
      </c>
      <c r="H48" s="118" t="str">
        <f>IFERROR(IF($L$9="","",IFERROR(IFERROR(VLOOKUP(G48,Equivalencia!A:B,2,FALSE),VLOOKUP(G48,Equivalencia!E:F,2,FALSE)),VLOOKUP(G48,Equivalencia!H:I,2,FALSE))),"")</f>
        <v/>
      </c>
      <c r="I48" s="119"/>
      <c r="J48" s="55">
        <v>2</v>
      </c>
      <c r="K48" s="56" t="str">
        <f>IFERROR(VLOOKUP(G48,Notas!B:K,8,FALSE)/1000,"")</f>
        <v/>
      </c>
      <c r="L48" s="57" t="str">
        <f>IFERROR(IF(VLOOKUP(G48,Notas!B:K,9,FALSE)=".000","",VLOOKUP(G48,Notas!B:K,9,FALSE)/1000),"")</f>
        <v/>
      </c>
      <c r="M48" s="95"/>
    </row>
    <row r="49" spans="2:13" ht="14.25" customHeight="1" x14ac:dyDescent="0.3">
      <c r="B49" s="93"/>
      <c r="C49" s="154"/>
      <c r="D49" s="53" t="s">
        <v>94</v>
      </c>
      <c r="E49" s="118" t="s">
        <v>95</v>
      </c>
      <c r="F49" s="119"/>
      <c r="G49" s="54" t="str">
        <f>IF($L$9="","",IFERROR(VLOOKUP(IFERROR(VLOOKUP(D49,Notas!B:B,1,FALSE),VLOOKUP(D49,Equivalencia!A:F,5,FALSE)),Notas!B:B,1,FALSE),VLOOKUP(D49,Equivalencia!A:H,8,FALSE)))</f>
        <v/>
      </c>
      <c r="H49" s="118" t="str">
        <f>IFERROR(IF($L$9="","",IFERROR(IFERROR(VLOOKUP(G49,Equivalencia!A:B,2,FALSE),VLOOKUP(G49,Equivalencia!E:F,2,FALSE)),VLOOKUP(G49,Equivalencia!H:I,2,FALSE))),"")</f>
        <v/>
      </c>
      <c r="I49" s="119"/>
      <c r="J49" s="55">
        <v>1</v>
      </c>
      <c r="K49" s="56" t="str">
        <f>IFERROR(VLOOKUP(G49,Notas!B:K,8,FALSE)/1000,"")</f>
        <v/>
      </c>
      <c r="L49" s="57" t="str">
        <f>IFERROR(IF(VLOOKUP(G49,Notas!B:K,9,FALSE)=".000","",VLOOKUP(G49,Notas!B:K,9,FALSE)/1000),"")</f>
        <v/>
      </c>
      <c r="M49" s="95"/>
    </row>
    <row r="50" spans="2:13" ht="14.25" customHeight="1" x14ac:dyDescent="0.3">
      <c r="B50" s="93"/>
      <c r="C50" s="154"/>
      <c r="D50" s="53" t="s">
        <v>96</v>
      </c>
      <c r="E50" s="118" t="s">
        <v>97</v>
      </c>
      <c r="F50" s="119"/>
      <c r="G50" s="54" t="str">
        <f>IF($L$9="","",IFERROR(VLOOKUP(IFERROR(VLOOKUP(D50,Notas!B:B,1,FALSE),VLOOKUP(D50,Equivalencia!A:F,5,FALSE)),Notas!B:B,1,FALSE),VLOOKUP(D50,Equivalencia!A:H,8,FALSE)))</f>
        <v/>
      </c>
      <c r="H50" s="118" t="str">
        <f>IFERROR(IF($L$9="","",IFERROR(IFERROR(VLOOKUP(G50,Equivalencia!A:B,2,FALSE),VLOOKUP(G50,Equivalencia!E:F,2,FALSE)),VLOOKUP(G50,Equivalencia!H:I,2,FALSE))),"")</f>
        <v/>
      </c>
      <c r="I50" s="119"/>
      <c r="J50" s="55">
        <v>1</v>
      </c>
      <c r="K50" s="56" t="str">
        <f>IFERROR(VLOOKUP(G50,Notas!B:K,8,FALSE)/1000,"")</f>
        <v/>
      </c>
      <c r="L50" s="57" t="str">
        <f>IFERROR(IF(VLOOKUP(G50,Notas!B:K,9,FALSE)=".000","",VLOOKUP(G50,Notas!B:K,9,FALSE)/1000),"")</f>
        <v/>
      </c>
      <c r="M50" s="95"/>
    </row>
    <row r="51" spans="2:13" ht="14.25" customHeight="1" x14ac:dyDescent="0.3">
      <c r="B51" s="93"/>
      <c r="C51" s="154"/>
      <c r="D51" s="53" t="s">
        <v>98</v>
      </c>
      <c r="E51" s="118" t="s">
        <v>99</v>
      </c>
      <c r="F51" s="119"/>
      <c r="G51" s="54" t="str">
        <f>IF($L$9="","",IFERROR(VLOOKUP(IFERROR(VLOOKUP(D51,Notas!B:B,1,FALSE),VLOOKUP(D51,Equivalencia!A:F,5,FALSE)),Notas!B:B,1,FALSE),VLOOKUP(D51,Equivalencia!A:H,8,FALSE)))</f>
        <v/>
      </c>
      <c r="H51" s="118" t="str">
        <f>IFERROR(IF($L$9="","",IFERROR(IFERROR(VLOOKUP(G51,Equivalencia!A:B,2,FALSE),VLOOKUP(G51,Equivalencia!E:F,2,FALSE)),VLOOKUP(G51,Equivalencia!H:I,2,FALSE))),"")</f>
        <v/>
      </c>
      <c r="I51" s="119"/>
      <c r="J51" s="55">
        <v>1</v>
      </c>
      <c r="K51" s="56" t="str">
        <f>IFERROR(VLOOKUP(G51,Notas!B:K,8,FALSE)/1000,"")</f>
        <v/>
      </c>
      <c r="L51" s="57" t="str">
        <f>IFERROR(IF(VLOOKUP(G51,Notas!B:K,9,FALSE)=".000","",VLOOKUP(G51,Notas!B:K,9,FALSE)/1000),"")</f>
        <v/>
      </c>
      <c r="M51" s="95"/>
    </row>
    <row r="52" spans="2:13" ht="14.25" customHeight="1" x14ac:dyDescent="0.3">
      <c r="B52" s="93"/>
      <c r="C52" s="155"/>
      <c r="D52" s="58" t="s">
        <v>100</v>
      </c>
      <c r="E52" s="120" t="s">
        <v>101</v>
      </c>
      <c r="F52" s="121"/>
      <c r="G52" s="59" t="str">
        <f>IF($L$9="","",IFERROR(VLOOKUP(IFERROR(VLOOKUP(D52,Notas!B:B,1,FALSE),VLOOKUP(D52,Equivalencia!A:F,5,FALSE)),Notas!B:B,1,FALSE),VLOOKUP(D52,Equivalencia!A:H,8,FALSE)))</f>
        <v/>
      </c>
      <c r="H52" s="120" t="str">
        <f>IFERROR(IF($L$9="","",IFERROR(IFERROR(VLOOKUP(G52,Equivalencia!A:B,2,FALSE),VLOOKUP(G52,Equivalencia!E:F,2,FALSE)),VLOOKUP(G52,Equivalencia!H:I,2,FALSE))),"")</f>
        <v/>
      </c>
      <c r="I52" s="121"/>
      <c r="J52" s="60">
        <v>1</v>
      </c>
      <c r="K52" s="61" t="str">
        <f>IFERROR(VLOOKUP(G52,Notas!B:K,8,FALSE)/1000,"")</f>
        <v/>
      </c>
      <c r="L52" s="62" t="str">
        <f>IFERROR(IF(VLOOKUP(G52,Notas!B:K,9,FALSE)=".000","",VLOOKUP(G52,Notas!B:K,9,FALSE)/1000),"")</f>
        <v/>
      </c>
      <c r="M52" s="95"/>
    </row>
    <row r="53" spans="2:13" ht="14.25" customHeight="1" x14ac:dyDescent="0.3">
      <c r="B53" s="93"/>
      <c r="C53" s="154" t="s">
        <v>102</v>
      </c>
      <c r="D53" s="48" t="s">
        <v>103</v>
      </c>
      <c r="E53" s="122" t="s">
        <v>104</v>
      </c>
      <c r="F53" s="123"/>
      <c r="G53" s="49" t="str">
        <f>IF($L$9="","",IFERROR(VLOOKUP(IFERROR(VLOOKUP(D53,Notas!B:B,1,FALSE),VLOOKUP(D53,Equivalencia!A:F,5,FALSE)),Notas!B:B,1,FALSE),VLOOKUP(D53,Equivalencia!A:H,8,FALSE)))</f>
        <v/>
      </c>
      <c r="H53" s="122" t="str">
        <f>IFERROR(IF($L$9="","",IFERROR(IFERROR(VLOOKUP(G53,Equivalencia!A:B,2,FALSE),VLOOKUP(G53,Equivalencia!E:F,2,FALSE)),VLOOKUP(G53,Equivalencia!H:I,2,FALSE))),"")</f>
        <v/>
      </c>
      <c r="I53" s="123"/>
      <c r="J53" s="50">
        <v>2</v>
      </c>
      <c r="K53" s="51" t="str">
        <f>IFERROR(VLOOKUP(G53,Notas!B:K,8,FALSE)/1000,"")</f>
        <v/>
      </c>
      <c r="L53" s="52" t="str">
        <f>IFERROR(IF(VLOOKUP(G53,Notas!B:K,9,FALSE)=".000","",VLOOKUP(G53,Notas!B:K,9,FALSE)/1000),"")</f>
        <v/>
      </c>
      <c r="M53" s="95"/>
    </row>
    <row r="54" spans="2:13" ht="14.25" customHeight="1" x14ac:dyDescent="0.3">
      <c r="B54" s="93"/>
      <c r="C54" s="154"/>
      <c r="D54" s="53" t="s">
        <v>105</v>
      </c>
      <c r="E54" s="118" t="s">
        <v>106</v>
      </c>
      <c r="F54" s="119"/>
      <c r="G54" s="54" t="str">
        <f>IF($L$9="","",IFERROR(VLOOKUP(IFERROR(VLOOKUP(D54,Notas!B:B,1,FALSE),VLOOKUP(D54,Equivalencia!A:F,5,FALSE)),Notas!B:B,1,FALSE),VLOOKUP(D54,Equivalencia!A:H,8,FALSE)))</f>
        <v/>
      </c>
      <c r="H54" s="118" t="str">
        <f>IFERROR(IF($L$9="","",IFERROR(IFERROR(VLOOKUP(G54,Equivalencia!A:B,2,FALSE),VLOOKUP(G54,Equivalencia!E:F,2,FALSE)),VLOOKUP(G54,Equivalencia!H:I,2,FALSE))),"")</f>
        <v/>
      </c>
      <c r="I54" s="119"/>
      <c r="J54" s="55">
        <v>2</v>
      </c>
      <c r="K54" s="56" t="str">
        <f>IFERROR(VLOOKUP(G54,Notas!B:K,8,FALSE)/1000,"")</f>
        <v/>
      </c>
      <c r="L54" s="57" t="str">
        <f>IFERROR(IF(VLOOKUP(G54,Notas!B:K,9,FALSE)=".000","",VLOOKUP(G54,Notas!B:K,9,FALSE)/1000),"")</f>
        <v/>
      </c>
      <c r="M54" s="95"/>
    </row>
    <row r="55" spans="2:13" ht="14.25" customHeight="1" x14ac:dyDescent="0.3">
      <c r="B55" s="93"/>
      <c r="C55" s="154"/>
      <c r="D55" s="53" t="s">
        <v>107</v>
      </c>
      <c r="E55" s="118" t="s">
        <v>108</v>
      </c>
      <c r="F55" s="119"/>
      <c r="G55" s="54" t="str">
        <f>IF($L$9="","",IFERROR(VLOOKUP(IFERROR(VLOOKUP(D55,Notas!B:B,1,FALSE),VLOOKUP(D55,Equivalencia!A:F,5,FALSE)),Notas!B:B,1,FALSE),VLOOKUP(D55,Equivalencia!A:H,8,FALSE)))</f>
        <v/>
      </c>
      <c r="H55" s="118" t="str">
        <f>IFERROR(IF($L$9="","",IFERROR(IFERROR(VLOOKUP(G55,Equivalencia!A:B,2,FALSE),VLOOKUP(G55,Equivalencia!E:F,2,FALSE)),VLOOKUP(G55,Equivalencia!H:I,2,FALSE))),"")</f>
        <v/>
      </c>
      <c r="I55" s="119"/>
      <c r="J55" s="55">
        <v>1</v>
      </c>
      <c r="K55" s="56" t="str">
        <f>IFERROR(VLOOKUP(G55,Notas!B:K,8,FALSE)/1000,"")</f>
        <v/>
      </c>
      <c r="L55" s="57" t="str">
        <f>IFERROR(IF(VLOOKUP(G55,Notas!B:K,9,FALSE)=".000","",VLOOKUP(G55,Notas!B:K,9,FALSE)/1000),"")</f>
        <v/>
      </c>
      <c r="M55" s="95"/>
    </row>
    <row r="56" spans="2:13" ht="14.25" customHeight="1" x14ac:dyDescent="0.3">
      <c r="B56" s="93"/>
      <c r="C56" s="154"/>
      <c r="D56" s="53" t="s">
        <v>109</v>
      </c>
      <c r="E56" s="118" t="s">
        <v>110</v>
      </c>
      <c r="F56" s="119"/>
      <c r="G56" s="54" t="str">
        <f>IF($L$9="","",IFERROR(VLOOKUP(IFERROR(VLOOKUP(D56,Notas!B:B,1,FALSE),VLOOKUP(D56,Equivalencia!A:F,5,FALSE)),Notas!B:B,1,FALSE),VLOOKUP(D56,Equivalencia!A:H,8,FALSE)))</f>
        <v/>
      </c>
      <c r="H56" s="118" t="str">
        <f>IFERROR(IF($L$9="","",IFERROR(IFERROR(VLOOKUP(G56,Equivalencia!A:B,2,FALSE),VLOOKUP(G56,Equivalencia!E:F,2,FALSE)),VLOOKUP(G56,Equivalencia!H:I,2,FALSE))),"")</f>
        <v/>
      </c>
      <c r="I56" s="119"/>
      <c r="J56" s="55">
        <v>1</v>
      </c>
      <c r="K56" s="56" t="str">
        <f>IFERROR(VLOOKUP(G56,Notas!B:K,8,FALSE)/1000,"")</f>
        <v/>
      </c>
      <c r="L56" s="57" t="str">
        <f>IFERROR(IF(VLOOKUP(G56,Notas!B:K,9,FALSE)=".000","",VLOOKUP(G56,Notas!B:K,9,FALSE)/1000),"")</f>
        <v/>
      </c>
      <c r="M56" s="95"/>
    </row>
    <row r="57" spans="2:13" ht="14.25" customHeight="1" x14ac:dyDescent="0.3">
      <c r="B57" s="93"/>
      <c r="C57" s="154"/>
      <c r="D57" s="53" t="s">
        <v>111</v>
      </c>
      <c r="E57" s="118" t="s">
        <v>112</v>
      </c>
      <c r="F57" s="119"/>
      <c r="G57" s="54" t="str">
        <f>IF($L$9="","",IFERROR(VLOOKUP(IFERROR(VLOOKUP(D57,Notas!B:B,1,FALSE),VLOOKUP(D57,Equivalencia!A:F,5,FALSE)),Notas!B:B,1,FALSE),VLOOKUP(D57,Equivalencia!A:H,8,FALSE)))</f>
        <v/>
      </c>
      <c r="H57" s="118" t="str">
        <f>IFERROR(IF($L$9="","",IFERROR(IFERROR(VLOOKUP(G57,Equivalencia!A:B,2,FALSE),VLOOKUP(G57,Equivalencia!E:F,2,FALSE)),VLOOKUP(G57,Equivalencia!H:I,2,FALSE))),"")</f>
        <v/>
      </c>
      <c r="I57" s="119"/>
      <c r="J57" s="55">
        <v>1</v>
      </c>
      <c r="K57" s="56" t="str">
        <f>IFERROR(VLOOKUP(G57,Notas!B:K,8,FALSE)/1000,"")</f>
        <v/>
      </c>
      <c r="L57" s="57" t="str">
        <f>IFERROR(IF(VLOOKUP(G57,Notas!B:K,9,FALSE)=".000","",VLOOKUP(G57,Notas!B:K,9,FALSE)/1000),"")</f>
        <v/>
      </c>
      <c r="M57" s="95"/>
    </row>
    <row r="58" spans="2:13" ht="14.25" customHeight="1" x14ac:dyDescent="0.3">
      <c r="B58" s="93"/>
      <c r="C58" s="154"/>
      <c r="D58" s="53" t="s">
        <v>113</v>
      </c>
      <c r="E58" s="118" t="s">
        <v>114</v>
      </c>
      <c r="F58" s="119"/>
      <c r="G58" s="54" t="str">
        <f>IF($L$9="","",IFERROR(VLOOKUP(IFERROR(VLOOKUP(D58,Notas!B:B,1,FALSE),VLOOKUP(D58,Equivalencia!A:F,5,FALSE)),Notas!B:B,1,FALSE),VLOOKUP(D58,Equivalencia!A:H,8,FALSE)))</f>
        <v/>
      </c>
      <c r="H58" s="118" t="str">
        <f>IFERROR(IF($L$9="","",IFERROR(IFERROR(VLOOKUP(G58,Equivalencia!A:B,2,FALSE),VLOOKUP(G58,Equivalencia!E:F,2,FALSE)),VLOOKUP(G58,Equivalencia!H:I,2,FALSE))),"")</f>
        <v/>
      </c>
      <c r="I58" s="119"/>
      <c r="J58" s="55">
        <v>2</v>
      </c>
      <c r="K58" s="56" t="str">
        <f>IFERROR(VLOOKUP(G58,Notas!B:K,8,FALSE)/1000,"")</f>
        <v/>
      </c>
      <c r="L58" s="57" t="str">
        <f>IFERROR(IF(VLOOKUP(G58,Notas!B:K,9,FALSE)=".000","",VLOOKUP(G58,Notas!B:K,9,FALSE)/1000),"")</f>
        <v/>
      </c>
      <c r="M58" s="95"/>
    </row>
    <row r="59" spans="2:13" ht="14.25" customHeight="1" x14ac:dyDescent="0.3">
      <c r="B59" s="93"/>
      <c r="C59" s="154"/>
      <c r="D59" s="53" t="s">
        <v>115</v>
      </c>
      <c r="E59" s="118" t="s">
        <v>116</v>
      </c>
      <c r="F59" s="119"/>
      <c r="G59" s="54" t="str">
        <f>IF($L$9="","",IFERROR(VLOOKUP(IFERROR(VLOOKUP(D59,Notas!B:B,1,FALSE),VLOOKUP(D59,Equivalencia!A:F,5,FALSE)),Notas!B:B,1,FALSE),VLOOKUP(D59,Equivalencia!A:H,8,FALSE)))</f>
        <v/>
      </c>
      <c r="H59" s="118" t="str">
        <f>IFERROR(IF($L$9="","",IFERROR(IFERROR(VLOOKUP(G59,Equivalencia!A:B,2,FALSE),VLOOKUP(G59,Equivalencia!E:F,2,FALSE)),VLOOKUP(G59,Equivalencia!H:I,2,FALSE))),"")</f>
        <v/>
      </c>
      <c r="I59" s="119"/>
      <c r="J59" s="55">
        <v>2</v>
      </c>
      <c r="K59" s="56" t="str">
        <f>IFERROR(VLOOKUP(G59,Notas!B:K,8,FALSE)/1000,"")</f>
        <v/>
      </c>
      <c r="L59" s="57" t="str">
        <f>IFERROR(IF(VLOOKUP(G59,Notas!B:K,9,FALSE)=".000","",VLOOKUP(G59,Notas!B:K,9,FALSE)/1000),"")</f>
        <v/>
      </c>
      <c r="M59" s="95"/>
    </row>
    <row r="60" spans="2:13" ht="14.25" customHeight="1" x14ac:dyDescent="0.3">
      <c r="B60" s="93"/>
      <c r="C60" s="154"/>
      <c r="D60" s="53" t="s">
        <v>117</v>
      </c>
      <c r="E60" s="118" t="s">
        <v>118</v>
      </c>
      <c r="F60" s="119"/>
      <c r="G60" s="54" t="str">
        <f>IF($L$9="","",IFERROR(VLOOKUP(IFERROR(VLOOKUP(D60,Notas!B:B,1,FALSE),VLOOKUP(D60,Equivalencia!A:F,5,FALSE)),Notas!B:B,1,FALSE),VLOOKUP(D60,Equivalencia!A:H,8,FALSE)))</f>
        <v/>
      </c>
      <c r="H60" s="118" t="str">
        <f>IFERROR(IF($L$9="","",IFERROR(IFERROR(VLOOKUP(G60,Equivalencia!A:B,2,FALSE),VLOOKUP(G60,Equivalencia!E:F,2,FALSE)),VLOOKUP(G60,Equivalencia!H:I,2,FALSE))),"")</f>
        <v/>
      </c>
      <c r="I60" s="119"/>
      <c r="J60" s="55">
        <v>2</v>
      </c>
      <c r="K60" s="56" t="str">
        <f>IFERROR(VLOOKUP(G60,Notas!B:K,8,FALSE)/1000,"")</f>
        <v/>
      </c>
      <c r="L60" s="57" t="str">
        <f>IFERROR(IF(VLOOKUP(G60,Notas!B:K,9,FALSE)=".000","",VLOOKUP(G60,Notas!B:K,9,FALSE)/1000),"")</f>
        <v/>
      </c>
      <c r="M60" s="95"/>
    </row>
    <row r="61" spans="2:13" ht="14.25" customHeight="1" x14ac:dyDescent="0.3">
      <c r="B61" s="93"/>
      <c r="C61" s="154"/>
      <c r="D61" s="53" t="s">
        <v>119</v>
      </c>
      <c r="E61" s="118" t="s">
        <v>120</v>
      </c>
      <c r="F61" s="119"/>
      <c r="G61" s="54" t="str">
        <f>IF($L$9="","",IFERROR(VLOOKUP(IFERROR(VLOOKUP(D61,Notas!B:B,1,FALSE),VLOOKUP(D61,Equivalencia!A:F,5,FALSE)),Notas!B:B,1,FALSE),VLOOKUP(D61,Equivalencia!A:H,8,FALSE)))</f>
        <v/>
      </c>
      <c r="H61" s="118" t="str">
        <f>IFERROR(IF($L$9="","",IFERROR(IFERROR(VLOOKUP(G61,Equivalencia!A:B,2,FALSE),VLOOKUP(G61,Equivalencia!E:F,2,FALSE)),VLOOKUP(G61,Equivalencia!H:I,2,FALSE))),"")</f>
        <v/>
      </c>
      <c r="I61" s="119"/>
      <c r="J61" s="55">
        <v>2</v>
      </c>
      <c r="K61" s="56" t="str">
        <f>IFERROR(VLOOKUP(G61,Notas!B:K,8,FALSE)/1000,"")</f>
        <v/>
      </c>
      <c r="L61" s="57" t="str">
        <f>IFERROR(IF(VLOOKUP(G61,Notas!B:K,9,FALSE)=".000","",VLOOKUP(G61,Notas!B:K,9,FALSE)/1000),"")</f>
        <v/>
      </c>
      <c r="M61" s="95"/>
    </row>
    <row r="62" spans="2:13" ht="14.25" customHeight="1" x14ac:dyDescent="0.3">
      <c r="B62" s="93"/>
      <c r="C62" s="154"/>
      <c r="D62" s="53" t="s">
        <v>121</v>
      </c>
      <c r="E62" s="118" t="s">
        <v>122</v>
      </c>
      <c r="F62" s="119"/>
      <c r="G62" s="54" t="str">
        <f>IF($L$9="","",IFERROR(VLOOKUP(IFERROR(VLOOKUP(D62,Notas!B:B,1,FALSE),VLOOKUP(D62,Equivalencia!A:F,5,FALSE)),Notas!B:B,1,FALSE),VLOOKUP(D62,Equivalencia!A:H,8,FALSE)))</f>
        <v/>
      </c>
      <c r="H62" s="118" t="str">
        <f>IFERROR(IF($L$9="","",IFERROR(IFERROR(VLOOKUP(G62,Equivalencia!A:B,2,FALSE),VLOOKUP(G62,Equivalencia!E:F,2,FALSE)),VLOOKUP(G62,Equivalencia!H:I,2,FALSE))),"")</f>
        <v/>
      </c>
      <c r="I62" s="119"/>
      <c r="J62" s="55">
        <v>2</v>
      </c>
      <c r="K62" s="56" t="str">
        <f>IFERROR(VLOOKUP(G62,Notas!B:K,8,FALSE)/1000,"")</f>
        <v/>
      </c>
      <c r="L62" s="57" t="str">
        <f>IFERROR(IF(VLOOKUP(G62,Notas!B:K,9,FALSE)=".000","",VLOOKUP(G62,Notas!B:K,9,FALSE)/1000),"")</f>
        <v/>
      </c>
      <c r="M62" s="95"/>
    </row>
    <row r="63" spans="2:13" ht="14.25" customHeight="1" x14ac:dyDescent="0.3">
      <c r="B63" s="93"/>
      <c r="C63" s="154"/>
      <c r="D63" s="53" t="s">
        <v>123</v>
      </c>
      <c r="E63" s="118" t="s">
        <v>124</v>
      </c>
      <c r="F63" s="119"/>
      <c r="G63" s="54" t="str">
        <f>IF($L$9="","",IFERROR(VLOOKUP(IFERROR(VLOOKUP(D63,Notas!B:B,1,FALSE),VLOOKUP(D63,Equivalencia!A:F,5,FALSE)),Notas!B:B,1,FALSE),VLOOKUP(D63,Equivalencia!A:H,8,FALSE)))</f>
        <v/>
      </c>
      <c r="H63" s="118" t="str">
        <f>IFERROR(IF($L$9="","",IFERROR(IFERROR(VLOOKUP(G63,Equivalencia!A:B,2,FALSE),VLOOKUP(G63,Equivalencia!E:F,2,FALSE)),VLOOKUP(G63,Equivalencia!H:I,2,FALSE))),"")</f>
        <v/>
      </c>
      <c r="I63" s="119"/>
      <c r="J63" s="55">
        <v>2</v>
      </c>
      <c r="K63" s="56" t="str">
        <f>IFERROR(VLOOKUP(G63,Notas!B:K,8,FALSE)/1000,"")</f>
        <v/>
      </c>
      <c r="L63" s="57" t="str">
        <f>IFERROR(IF(VLOOKUP(G63,Notas!B:K,9,FALSE)=".000","",VLOOKUP(G63,Notas!B:K,9,FALSE)/1000),"")</f>
        <v/>
      </c>
      <c r="M63" s="95"/>
    </row>
    <row r="64" spans="2:13" ht="14.25" customHeight="1" x14ac:dyDescent="0.3">
      <c r="B64" s="93"/>
      <c r="C64" s="154"/>
      <c r="D64" s="53" t="s">
        <v>125</v>
      </c>
      <c r="E64" s="118" t="s">
        <v>126</v>
      </c>
      <c r="F64" s="119"/>
      <c r="G64" s="54" t="str">
        <f>IF($L$9="","",IFERROR(VLOOKUP(IFERROR(VLOOKUP(D64,Notas!B:B,1,FALSE),VLOOKUP(D64,Equivalencia!A:F,5,FALSE)),Notas!B:B,1,FALSE),VLOOKUP(D64,Equivalencia!A:H,8,FALSE)))</f>
        <v/>
      </c>
      <c r="H64" s="118" t="str">
        <f>IFERROR(IF($L$9="","",IFERROR(IFERROR(VLOOKUP(G64,Equivalencia!A:B,2,FALSE),VLOOKUP(G64,Equivalencia!E:F,2,FALSE)),VLOOKUP(G64,Equivalencia!H:I,2,FALSE))),"")</f>
        <v/>
      </c>
      <c r="I64" s="119"/>
      <c r="J64" s="55">
        <v>1</v>
      </c>
      <c r="K64" s="56" t="str">
        <f>IFERROR(VLOOKUP(G64,Notas!B:K,8,FALSE)/1000,"")</f>
        <v/>
      </c>
      <c r="L64" s="57" t="str">
        <f>IFERROR(IF(VLOOKUP(G64,Notas!B:K,9,FALSE)=".000","",VLOOKUP(G64,Notas!B:K,9,FALSE)/1000),"")</f>
        <v/>
      </c>
      <c r="M64" s="95"/>
    </row>
    <row r="65" spans="2:14" ht="14.25" customHeight="1" x14ac:dyDescent="0.3">
      <c r="B65" s="93"/>
      <c r="C65" s="155"/>
      <c r="D65" s="58" t="s">
        <v>199</v>
      </c>
      <c r="E65" s="120" t="s">
        <v>128</v>
      </c>
      <c r="F65" s="121"/>
      <c r="G65" s="59" t="str">
        <f>IF($L$9="","",IFERROR(VLOOKUP(IFERROR(VLOOKUP(D65,Notas!B:B,1,FALSE),VLOOKUP(D65,Equivalencia!A:F,5,FALSE)),Notas!B:B,1,FALSE),VLOOKUP(D65,Equivalencia!A:H,8,FALSE)))</f>
        <v/>
      </c>
      <c r="H65" s="120" t="str">
        <f>IFERROR(IF($L$9="","",IFERROR(IFERROR(VLOOKUP(G65,Equivalencia!A:B,2,FALSE),VLOOKUP(G65,Equivalencia!E:F,2,FALSE)),VLOOKUP(G65,Equivalencia!H:I,2,FALSE))),"")</f>
        <v/>
      </c>
      <c r="I65" s="121"/>
      <c r="J65" s="60">
        <v>2</v>
      </c>
      <c r="K65" s="61" t="str">
        <f>IFERROR(VLOOKUP(G65,Notas!B:K,8,FALSE)/1000,"")</f>
        <v/>
      </c>
      <c r="L65" s="62" t="str">
        <f>IFERROR(IF(VLOOKUP(G65,Notas!B:K,9,FALSE)=".000","",VLOOKUP(G65,Notas!B:K,9,FALSE)/1000),"")</f>
        <v/>
      </c>
      <c r="M65" s="95"/>
    </row>
    <row r="66" spans="2:14" ht="14.25" customHeight="1" x14ac:dyDescent="0.3">
      <c r="B66" s="93"/>
      <c r="C66" s="154" t="s">
        <v>129</v>
      </c>
      <c r="D66" s="48" t="s">
        <v>130</v>
      </c>
      <c r="E66" s="122" t="s">
        <v>131</v>
      </c>
      <c r="F66" s="123"/>
      <c r="G66" s="49" t="str">
        <f>IF($L$9="","",IFERROR(VLOOKUP(IFERROR(VLOOKUP(D66,Notas!B:B,1,FALSE),VLOOKUP(D66,Equivalencia!A:F,5,FALSE)),Notas!B:B,1,FALSE),VLOOKUP(D66,Equivalencia!A:H,8,FALSE)))</f>
        <v/>
      </c>
      <c r="H66" s="122" t="str">
        <f>IFERROR(IF($L$9="","",IFERROR(IFERROR(VLOOKUP(G66,Equivalencia!A:B,2,FALSE),VLOOKUP(G66,Equivalencia!E:F,2,FALSE)),VLOOKUP(G66,Equivalencia!H:I,2,FALSE))),"")</f>
        <v/>
      </c>
      <c r="I66" s="123"/>
      <c r="J66" s="50">
        <v>1</v>
      </c>
      <c r="K66" s="51" t="str">
        <f>IFERROR(VLOOKUP(G66,Notas!B:K,8,FALSE)/1000,"")</f>
        <v/>
      </c>
      <c r="L66" s="52" t="str">
        <f>IFERROR(IF(VLOOKUP(G66,Notas!B:K,9,FALSE)=".000","",VLOOKUP(G66,Notas!B:K,9,FALSE)/1000),"")</f>
        <v/>
      </c>
      <c r="M66" s="95"/>
    </row>
    <row r="67" spans="2:14" ht="14.25" customHeight="1" x14ac:dyDescent="0.3">
      <c r="B67" s="93"/>
      <c r="C67" s="154"/>
      <c r="D67" s="53" t="s">
        <v>132</v>
      </c>
      <c r="E67" s="118" t="s">
        <v>133</v>
      </c>
      <c r="F67" s="119"/>
      <c r="G67" s="54" t="str">
        <f>IF($L$9="","",IFERROR(VLOOKUP(IFERROR(VLOOKUP(D67,Notas!B:B,1,FALSE),VLOOKUP(D67,Equivalencia!A:F,5,FALSE)),Notas!B:B,1,FALSE),VLOOKUP(D67,Equivalencia!A:H,8,FALSE)))</f>
        <v/>
      </c>
      <c r="H67" s="118" t="str">
        <f>IFERROR(IF($L$9="","",IFERROR(IFERROR(VLOOKUP(G67,Equivalencia!A:B,2,FALSE),VLOOKUP(G67,Equivalencia!E:F,2,FALSE)),VLOOKUP(G67,Equivalencia!H:I,2,FALSE))),"")</f>
        <v/>
      </c>
      <c r="I67" s="119"/>
      <c r="J67" s="55">
        <v>1</v>
      </c>
      <c r="K67" s="56" t="str">
        <f>IFERROR(VLOOKUP(G67,Notas!B:K,8,FALSE)/1000,"")</f>
        <v/>
      </c>
      <c r="L67" s="57" t="str">
        <f>IFERROR(IF(VLOOKUP(G67,Notas!B:K,9,FALSE)=".000","",VLOOKUP(G67,Notas!B:K,9,FALSE)/1000),"")</f>
        <v/>
      </c>
      <c r="M67" s="95"/>
    </row>
    <row r="68" spans="2:14" ht="14.25" customHeight="1" x14ac:dyDescent="0.3">
      <c r="B68" s="93"/>
      <c r="C68" s="154"/>
      <c r="D68" s="53" t="s">
        <v>134</v>
      </c>
      <c r="E68" s="118" t="s">
        <v>135</v>
      </c>
      <c r="F68" s="119"/>
      <c r="G68" s="54" t="str">
        <f>IF($L$9="","",IFERROR(VLOOKUP(IFERROR(VLOOKUP(D68,Notas!B:B,1,FALSE),VLOOKUP(D68,Equivalencia!A:F,5,FALSE)),Notas!B:B,1,FALSE),VLOOKUP(D68,Equivalencia!A:H,8,FALSE)))</f>
        <v/>
      </c>
      <c r="H68" s="118" t="str">
        <f>IFERROR(IF($L$9="","",IFERROR(IFERROR(VLOOKUP(G68,Equivalencia!A:B,2,FALSE),VLOOKUP(G68,Equivalencia!E:F,2,FALSE)),VLOOKUP(G68,Equivalencia!H:I,2,FALSE))),"")</f>
        <v/>
      </c>
      <c r="I68" s="119"/>
      <c r="J68" s="55">
        <v>1</v>
      </c>
      <c r="K68" s="56" t="str">
        <f>IFERROR(VLOOKUP(G68,Notas!B:K,8,FALSE)/1000,"")</f>
        <v/>
      </c>
      <c r="L68" s="57" t="str">
        <f>IFERROR(IF(VLOOKUP(G68,Notas!B:K,9,FALSE)=".000","",VLOOKUP(G68,Notas!B:K,9,FALSE)/1000),"")</f>
        <v/>
      </c>
      <c r="M68" s="95"/>
    </row>
    <row r="69" spans="2:14" ht="14.25" customHeight="1" x14ac:dyDescent="0.3">
      <c r="B69" s="93"/>
      <c r="C69" s="155"/>
      <c r="D69" s="58" t="s">
        <v>136</v>
      </c>
      <c r="E69" s="120" t="s">
        <v>137</v>
      </c>
      <c r="F69" s="121"/>
      <c r="G69" s="59" t="str">
        <f>IF($L$9="","",IFERROR(VLOOKUP(IFERROR(VLOOKUP(D69,Notas!B:B,1,FALSE),VLOOKUP(D69,Equivalencia!A:F,5,FALSE)),Notas!B:B,1,FALSE),VLOOKUP(D69,Equivalencia!A:H,8,FALSE)))</f>
        <v/>
      </c>
      <c r="H69" s="120" t="str">
        <f>IFERROR(IF($L$9="","",IFERROR(IFERROR(VLOOKUP(G69,Equivalencia!A:B,2,FALSE),VLOOKUP(G69,Equivalencia!E:F,2,FALSE)),VLOOKUP(G69,Equivalencia!H:I,2,FALSE))),"")</f>
        <v/>
      </c>
      <c r="I69" s="121"/>
      <c r="J69" s="60">
        <v>2</v>
      </c>
      <c r="K69" s="61" t="str">
        <f>IFERROR(VLOOKUP(G69,Notas!B:K,8,FALSE)/1000,"")</f>
        <v/>
      </c>
      <c r="L69" s="62" t="str">
        <f>IFERROR(IF(VLOOKUP(G69,Notas!B:K,9,FALSE)=".000","",VLOOKUP(G69,Notas!B:K,9,FALSE)/1000),"")</f>
        <v/>
      </c>
      <c r="M69" s="95"/>
    </row>
    <row r="70" spans="2:14" ht="14.25" customHeight="1" x14ac:dyDescent="0.3">
      <c r="B70" s="106">
        <v>1</v>
      </c>
      <c r="C70" s="156" t="s">
        <v>138</v>
      </c>
      <c r="D70" s="127" t="s">
        <v>139</v>
      </c>
      <c r="E70" s="128"/>
      <c r="F70" s="129"/>
      <c r="G70" s="48" t="str">
        <f>IF($L$9="","",IFERROR(IF(VLOOKUP($I$9&amp;B70,Optativas!$C:$F,2,FALSE)=0,"",VLOOKUP($I$9&amp;B70,Optativas!$C:$F,2,FALSE)),""))</f>
        <v/>
      </c>
      <c r="H70" s="122" t="str">
        <f>IF($L$9="","",IFERROR(VLOOKUP(G70,Optativas!D:F,2,FALSE),""))</f>
        <v/>
      </c>
      <c r="I70" s="123"/>
      <c r="J70" s="55" t="str">
        <f>IFERROR(VLOOKUP(G70,Optativas!D:F,3,FALSE),"")</f>
        <v/>
      </c>
      <c r="K70" s="51" t="str">
        <f>IFERROR(VLOOKUP(G70,Notas!B:K,8,FALSE)/1000,"")</f>
        <v/>
      </c>
      <c r="L70" s="66" t="str">
        <f>IFERROR(IF(VLOOKUP(G70,Notas!B:K,9,FALSE)=".000","",VLOOKUP(G70,Notas!B:K,9,FALSE)/1000),"")</f>
        <v/>
      </c>
      <c r="M70" s="95"/>
    </row>
    <row r="71" spans="2:14" ht="14.25" customHeight="1" x14ac:dyDescent="0.3">
      <c r="B71" s="106">
        <v>2</v>
      </c>
      <c r="C71" s="154"/>
      <c r="D71" s="130"/>
      <c r="E71" s="131"/>
      <c r="F71" s="132"/>
      <c r="G71" s="53" t="str">
        <f>IF($L$9="","",IFERROR(IF(VLOOKUP($I$9&amp;B71,Optativas!$C:$F,2,FALSE)=0,"",VLOOKUP($I$9&amp;B71,Optativas!$C:$F,2,FALSE)),""))</f>
        <v/>
      </c>
      <c r="H71" s="103" t="str">
        <f>IF($L$9="","",IFERROR(VLOOKUP(G71,Optativas!D:F,2,FALSE),""))</f>
        <v/>
      </c>
      <c r="I71" s="104"/>
      <c r="J71" s="55" t="str">
        <f>IFERROR(VLOOKUP(G71,Optativas!D:F,3,FALSE),"")</f>
        <v/>
      </c>
      <c r="K71" s="56" t="str">
        <f>IFERROR(VLOOKUP(G71,Notas!B:K,8,FALSE)/1000,"")</f>
        <v/>
      </c>
      <c r="L71" s="57" t="str">
        <f>IFERROR(IF(VLOOKUP(G71,Notas!B:K,9,FALSE)=".000","",VLOOKUP(G71,Notas!B:K,9,FALSE)/1000),"")</f>
        <v/>
      </c>
      <c r="M71" s="95"/>
    </row>
    <row r="72" spans="2:14" ht="14.25" customHeight="1" x14ac:dyDescent="0.3">
      <c r="B72" s="106">
        <v>3</v>
      </c>
      <c r="C72" s="154"/>
      <c r="D72" s="130"/>
      <c r="E72" s="131"/>
      <c r="F72" s="132"/>
      <c r="G72" s="53" t="str">
        <f>IF($L$9="","",IFERROR(IF(VLOOKUP($I$9&amp;B72,Optativas!$C:$F,2,FALSE)=0,"",VLOOKUP($I$9&amp;B72,Optativas!$C:$F,2,FALSE)),""))</f>
        <v/>
      </c>
      <c r="H72" s="103" t="str">
        <f>IF($L$9="","",IFERROR(VLOOKUP(G72,Optativas!D:F,2,FALSE),""))</f>
        <v/>
      </c>
      <c r="I72" s="104"/>
      <c r="J72" s="55" t="str">
        <f>IFERROR(VLOOKUP(G72,Optativas!D:F,3,FALSE),"")</f>
        <v/>
      </c>
      <c r="K72" s="56" t="str">
        <f>IFERROR(VLOOKUP(G72,Notas!B:K,8,FALSE)/1000,"")</f>
        <v/>
      </c>
      <c r="L72" s="57" t="str">
        <f>IFERROR(IF(VLOOKUP(G72,Notas!B:K,9,FALSE)=".000","",VLOOKUP(G72,Notas!B:K,9,FALSE)/1000),"")</f>
        <v/>
      </c>
      <c r="M72" s="95"/>
    </row>
    <row r="73" spans="2:14" ht="14.25" customHeight="1" thickBot="1" x14ac:dyDescent="0.35">
      <c r="B73" s="106">
        <v>4</v>
      </c>
      <c r="C73" s="157"/>
      <c r="D73" s="130"/>
      <c r="E73" s="131"/>
      <c r="F73" s="132"/>
      <c r="G73" s="53" t="str">
        <f>IF($L$9="","",IFERROR(IF(VLOOKUP($I$9&amp;B73,Optativas!$C:$F,2,FALSE)=0,"",VLOOKUP($I$9&amp;B73,Optativas!$C:$F,2,FALSE)),""))</f>
        <v/>
      </c>
      <c r="H73" s="103" t="str">
        <f>IF($L$9="","",IFERROR(VLOOKUP(G73,Optativas!D:F,2,FALSE),""))</f>
        <v/>
      </c>
      <c r="I73" s="104"/>
      <c r="J73" s="55" t="str">
        <f>IFERROR(VLOOKUP(G73,Optativas!D:F,3,FALSE),"")</f>
        <v/>
      </c>
      <c r="K73" s="56" t="str">
        <f>IFERROR(VLOOKUP(G73,Notas!B:K,8,FALSE)/1000,"")</f>
        <v/>
      </c>
      <c r="L73" s="57" t="str">
        <f>IFERROR(IF(VLOOKUP(G73,Notas!B:K,9,FALSE)=".000","",VLOOKUP(G73,Notas!B:K,9,FALSE)/1000),"")</f>
        <v/>
      </c>
      <c r="M73" s="96"/>
    </row>
    <row r="74" spans="2:14" ht="14.25" customHeight="1" x14ac:dyDescent="0.3">
      <c r="B74" s="106">
        <v>5</v>
      </c>
      <c r="C74" s="154"/>
      <c r="D74" s="133"/>
      <c r="E74" s="134"/>
      <c r="F74" s="135"/>
      <c r="G74" s="53" t="str">
        <f>IF($L$9="","",IFERROR(IF(VLOOKUP($I$9&amp;B74,Optativas!$C:$F,2,FALSE)=0,"",VLOOKUP($I$9&amp;B74,Optativas!$C:$F,2,FALSE)),""))</f>
        <v/>
      </c>
      <c r="H74" s="103" t="str">
        <f>IF($L$9="","",IFERROR(VLOOKUP(G74,Optativas!D:F,2,FALSE),""))</f>
        <v/>
      </c>
      <c r="I74" s="104"/>
      <c r="J74" s="55" t="str">
        <f>IFERROR(VLOOKUP(G74,Optativas!D:F,3,FALSE),"")</f>
        <v/>
      </c>
      <c r="K74" s="56" t="str">
        <f>IFERROR(VLOOKUP(G74,Notas!B:K,8,FALSE)/1000,"")</f>
        <v/>
      </c>
      <c r="L74" s="57" t="str">
        <f>IFERROR(IF(VLOOKUP(G74,Notas!B:K,9,FALSE)=".000","",VLOOKUP(G74,Notas!B:K,9,FALSE)/1000),"")</f>
        <v/>
      </c>
      <c r="M74" s="95"/>
    </row>
    <row r="75" spans="2:14" ht="12.15" customHeight="1" x14ac:dyDescent="0.3">
      <c r="B75" s="93"/>
      <c r="C75" s="44"/>
      <c r="D75" s="45"/>
      <c r="E75" s="46"/>
      <c r="F75" s="46"/>
      <c r="G75" s="45"/>
      <c r="H75" s="46"/>
      <c r="I75" s="46"/>
      <c r="J75" s="47"/>
      <c r="K75" s="45"/>
      <c r="L75" s="45"/>
      <c r="M75" s="95"/>
      <c r="N75" s="84" t="s">
        <v>0</v>
      </c>
    </row>
    <row r="76" spans="2:14" ht="13.5" customHeight="1" x14ac:dyDescent="0.3">
      <c r="B76" s="93"/>
      <c r="C76" s="144" t="s">
        <v>140</v>
      </c>
      <c r="D76" s="145"/>
      <c r="E76" s="145"/>
      <c r="F76" s="145"/>
      <c r="G76" s="145"/>
      <c r="H76" s="145"/>
      <c r="I76" s="145"/>
      <c r="J76" s="138">
        <f>SUM(J12:J74)</f>
        <v>110</v>
      </c>
      <c r="K76" s="139"/>
      <c r="L76" s="140"/>
      <c r="M76" s="95"/>
    </row>
    <row r="77" spans="2:14" ht="13.5" customHeight="1" x14ac:dyDescent="0.3">
      <c r="B77" s="93"/>
      <c r="C77" s="146" t="s">
        <v>141</v>
      </c>
      <c r="D77" s="147"/>
      <c r="E77" s="147"/>
      <c r="F77" s="147"/>
      <c r="G77" s="147"/>
      <c r="H77" s="147"/>
      <c r="I77" s="147"/>
      <c r="J77" s="141">
        <f>SUMPRODUCT(J12:J74,K12:K74)/J76</f>
        <v>0</v>
      </c>
      <c r="K77" s="142"/>
      <c r="L77" s="143"/>
      <c r="M77" s="95"/>
    </row>
    <row r="78" spans="2:14" ht="12.15" customHeight="1" x14ac:dyDescent="0.3">
      <c r="B78" s="113"/>
      <c r="C78" s="6"/>
      <c r="D78" s="3"/>
      <c r="E78" s="4"/>
      <c r="F78" s="4"/>
      <c r="G78" s="3"/>
      <c r="H78" s="4"/>
      <c r="I78" s="4"/>
      <c r="J78" s="5"/>
      <c r="K78" s="3"/>
      <c r="L78" s="3"/>
      <c r="M78" s="95"/>
    </row>
    <row r="79" spans="2:14" ht="12.15" customHeight="1" x14ac:dyDescent="0.3">
      <c r="B79" s="93"/>
      <c r="C79" s="148" t="s">
        <v>142</v>
      </c>
      <c r="D79" s="149"/>
      <c r="E79" s="149"/>
      <c r="F79" s="149"/>
      <c r="G79" s="149"/>
      <c r="H79" s="149"/>
      <c r="I79" s="149"/>
      <c r="J79" s="149"/>
      <c r="K79" s="149"/>
      <c r="L79" s="150"/>
      <c r="M79" s="95"/>
    </row>
    <row r="80" spans="2:14" ht="42" customHeight="1" x14ac:dyDescent="0.3">
      <c r="B80" s="93"/>
      <c r="C80" s="151"/>
      <c r="D80" s="152"/>
      <c r="E80" s="152"/>
      <c r="F80" s="152"/>
      <c r="G80" s="152"/>
      <c r="H80" s="152"/>
      <c r="I80" s="152"/>
      <c r="J80" s="152"/>
      <c r="K80" s="152"/>
      <c r="L80" s="153"/>
      <c r="M80" s="95"/>
    </row>
    <row r="81" spans="2:13" ht="8.25" customHeight="1" x14ac:dyDescent="0.3">
      <c r="B81" s="93"/>
      <c r="C81" s="105"/>
      <c r="D81" s="105"/>
      <c r="E81" s="105"/>
      <c r="F81" s="105"/>
      <c r="G81" s="105"/>
      <c r="H81" s="105"/>
      <c r="I81" s="105"/>
      <c r="J81" s="105"/>
      <c r="K81" s="105"/>
      <c r="L81" s="105"/>
      <c r="M81" s="95"/>
    </row>
    <row r="82" spans="2:13" ht="14.4" customHeight="1" x14ac:dyDescent="0.3">
      <c r="B82" s="93"/>
      <c r="C82" s="6"/>
      <c r="D82" s="40"/>
      <c r="E82" s="124"/>
      <c r="F82" s="124"/>
      <c r="G82" s="124"/>
      <c r="H82" s="4"/>
      <c r="I82" s="124" t="s">
        <v>0</v>
      </c>
      <c r="J82" s="124"/>
      <c r="K82" s="124"/>
      <c r="L82" s="3"/>
      <c r="M82" s="95"/>
    </row>
    <row r="83" spans="2:13" ht="10.5" customHeight="1" x14ac:dyDescent="0.3">
      <c r="B83" s="93"/>
      <c r="C83" s="6"/>
      <c r="D83" s="40"/>
      <c r="E83" s="124"/>
      <c r="F83" s="124"/>
      <c r="G83" s="124"/>
      <c r="H83" s="4"/>
      <c r="I83" s="124"/>
      <c r="J83" s="124"/>
      <c r="K83" s="124"/>
      <c r="L83" s="3"/>
      <c r="M83" s="95"/>
    </row>
    <row r="84" spans="2:13" ht="22.5" customHeight="1" x14ac:dyDescent="0.3">
      <c r="B84" s="93"/>
      <c r="C84" s="6"/>
      <c r="D84" s="40"/>
      <c r="E84" s="124"/>
      <c r="F84" s="124"/>
      <c r="G84" s="124"/>
      <c r="H84" s="4"/>
      <c r="I84" s="124"/>
      <c r="J84" s="124"/>
      <c r="K84" s="124"/>
      <c r="L84" s="3"/>
      <c r="M84" s="95"/>
    </row>
    <row r="85" spans="2:13" ht="8.25" customHeight="1" x14ac:dyDescent="0.3">
      <c r="B85" s="93"/>
      <c r="C85" s="6"/>
      <c r="D85" s="40"/>
      <c r="E85" s="124"/>
      <c r="F85" s="124"/>
      <c r="G85" s="124"/>
      <c r="H85" s="4"/>
      <c r="I85" s="124"/>
      <c r="J85" s="124"/>
      <c r="K85" s="124"/>
      <c r="L85" s="3"/>
      <c r="M85" s="95"/>
    </row>
    <row r="86" spans="2:13" ht="2.25" customHeight="1" x14ac:dyDescent="0.3">
      <c r="B86" s="93"/>
      <c r="C86" s="6"/>
      <c r="D86" s="40"/>
      <c r="E86" s="82"/>
      <c r="F86" s="82"/>
      <c r="G86" s="82"/>
      <c r="H86" s="4"/>
      <c r="I86" s="82"/>
      <c r="J86" s="82"/>
      <c r="K86" s="82"/>
      <c r="L86" s="3"/>
      <c r="M86" s="95"/>
    </row>
    <row r="87" spans="2:13" ht="12.9" customHeight="1" x14ac:dyDescent="0.3">
      <c r="B87" s="93"/>
      <c r="C87" s="6"/>
      <c r="D87" s="40"/>
      <c r="E87" s="116"/>
      <c r="F87" s="116"/>
      <c r="G87" s="116"/>
      <c r="H87" s="83"/>
      <c r="I87" s="116"/>
      <c r="J87" s="116"/>
      <c r="K87" s="116"/>
      <c r="L87" s="3"/>
      <c r="M87" s="95"/>
    </row>
    <row r="88" spans="2:13" ht="11.7" customHeight="1" x14ac:dyDescent="0.3">
      <c r="B88" s="93"/>
      <c r="C88" s="6"/>
      <c r="D88" s="3"/>
      <c r="E88" s="117" t="s">
        <v>247</v>
      </c>
      <c r="F88" s="117"/>
      <c r="G88" s="117"/>
      <c r="H88" s="83"/>
      <c r="I88" s="117" t="s">
        <v>204</v>
      </c>
      <c r="J88" s="117"/>
      <c r="K88" s="117"/>
      <c r="L88" s="3"/>
      <c r="M88" s="95"/>
    </row>
    <row r="89" spans="2:13" x14ac:dyDescent="0.3">
      <c r="B89" s="93"/>
      <c r="C89" s="6"/>
      <c r="D89" s="3"/>
      <c r="E89" s="4"/>
      <c r="F89" s="4"/>
      <c r="G89" s="3"/>
      <c r="H89" s="4"/>
      <c r="I89" s="4"/>
      <c r="J89" s="5"/>
      <c r="K89" s="3"/>
      <c r="L89" s="3"/>
      <c r="M89" s="95"/>
    </row>
    <row r="90" spans="2:13" x14ac:dyDescent="0.3">
      <c r="B90" s="97"/>
      <c r="C90" s="98"/>
      <c r="D90" s="99"/>
      <c r="E90" s="100"/>
      <c r="F90" s="100"/>
      <c r="G90" s="99"/>
      <c r="H90" s="100"/>
      <c r="I90" s="100"/>
      <c r="J90" s="101"/>
      <c r="K90" s="99"/>
      <c r="L90" s="99"/>
      <c r="M90" s="102"/>
    </row>
  </sheetData>
  <sheetProtection algorithmName="SHA-512" hashValue="7AFaAlWluKsWJlMp8H2Xk/i0w06aOfgsLtbhd61Ae5HvLjnfTejdab29Ie7SCiwfWYZRoXB+R4B3AONm3uKUpg==" saltValue="5PVLr83CiNRLKAg59pwWdw==" spinCount="100000" sheet="1" objects="1" scenarios="1" selectLockedCells="1"/>
  <protectedRanges>
    <protectedRange sqref="C80:C81 I87:I88 E87:E88" name="Editables"/>
  </protectedRanges>
  <autoFilter ref="C11:L74" xr:uid="{00000000-0009-0000-0000-000000000000}">
    <filterColumn colId="0" showButton="0"/>
    <filterColumn colId="2" showButton="0"/>
    <filterColumn colId="5" showButton="0"/>
  </autoFilter>
  <mergeCells count="152">
    <mergeCell ref="H48:I48"/>
    <mergeCell ref="H11:I11"/>
    <mergeCell ref="H27:I27"/>
    <mergeCell ref="H28:I28"/>
    <mergeCell ref="H29:I29"/>
    <mergeCell ref="H40:I40"/>
    <mergeCell ref="H41:I41"/>
    <mergeCell ref="H42:I42"/>
    <mergeCell ref="H43:I43"/>
    <mergeCell ref="H44:I44"/>
    <mergeCell ref="H35:I35"/>
    <mergeCell ref="H36:I36"/>
    <mergeCell ref="H37:I37"/>
    <mergeCell ref="H38:I38"/>
    <mergeCell ref="H39:I39"/>
    <mergeCell ref="H16:I16"/>
    <mergeCell ref="H17:I17"/>
    <mergeCell ref="H18:I18"/>
    <mergeCell ref="H30:I30"/>
    <mergeCell ref="H33:I33"/>
    <mergeCell ref="H34:I34"/>
    <mergeCell ref="H45:I45"/>
    <mergeCell ref="H26:I26"/>
    <mergeCell ref="H50:I50"/>
    <mergeCell ref="H51:I51"/>
    <mergeCell ref="H52:I52"/>
    <mergeCell ref="J3:L4"/>
    <mergeCell ref="J9:K9"/>
    <mergeCell ref="J8:K8"/>
    <mergeCell ref="E3:I4"/>
    <mergeCell ref="E5:I5"/>
    <mergeCell ref="E6:I6"/>
    <mergeCell ref="F8:I8"/>
    <mergeCell ref="C8:E8"/>
    <mergeCell ref="C3:D6"/>
    <mergeCell ref="C9:E9"/>
    <mergeCell ref="L5:L6"/>
    <mergeCell ref="J5:K6"/>
    <mergeCell ref="C12:C19"/>
    <mergeCell ref="C20:C42"/>
    <mergeCell ref="C43:C52"/>
    <mergeCell ref="H14:I14"/>
    <mergeCell ref="H15:I15"/>
    <mergeCell ref="E24:F24"/>
    <mergeCell ref="H46:I46"/>
    <mergeCell ref="H25:I25"/>
    <mergeCell ref="H47:I47"/>
    <mergeCell ref="E13:F13"/>
    <mergeCell ref="E14:F14"/>
    <mergeCell ref="E15:F15"/>
    <mergeCell ref="E16:F16"/>
    <mergeCell ref="E17:F17"/>
    <mergeCell ref="E18:F18"/>
    <mergeCell ref="E19:F19"/>
    <mergeCell ref="E20:F20"/>
    <mergeCell ref="E21:F21"/>
    <mergeCell ref="E23:F23"/>
    <mergeCell ref="I88:K88"/>
    <mergeCell ref="J76:L76"/>
    <mergeCell ref="J77:L77"/>
    <mergeCell ref="C76:I76"/>
    <mergeCell ref="C77:I77"/>
    <mergeCell ref="C79:L79"/>
    <mergeCell ref="C80:L80"/>
    <mergeCell ref="I87:K87"/>
    <mergeCell ref="C53:C65"/>
    <mergeCell ref="C66:C69"/>
    <mergeCell ref="C70:C74"/>
    <mergeCell ref="H69:I69"/>
    <mergeCell ref="I82:K85"/>
    <mergeCell ref="H55:I55"/>
    <mergeCell ref="H56:I56"/>
    <mergeCell ref="H57:I57"/>
    <mergeCell ref="H58:I58"/>
    <mergeCell ref="H64:I64"/>
    <mergeCell ref="H65:I65"/>
    <mergeCell ref="H66:I66"/>
    <mergeCell ref="H67:I67"/>
    <mergeCell ref="H68:I68"/>
    <mergeCell ref="H49:I49"/>
    <mergeCell ref="C11:D11"/>
    <mergeCell ref="D70:F74"/>
    <mergeCell ref="E11:F11"/>
    <mergeCell ref="E25:F25"/>
    <mergeCell ref="E26:F26"/>
    <mergeCell ref="E27:F27"/>
    <mergeCell ref="H70:I70"/>
    <mergeCell ref="E28:F28"/>
    <mergeCell ref="E29:F29"/>
    <mergeCell ref="E30:F30"/>
    <mergeCell ref="E31:F31"/>
    <mergeCell ref="E32:F32"/>
    <mergeCell ref="H20:I20"/>
    <mergeCell ref="H21:I21"/>
    <mergeCell ref="H22:I22"/>
    <mergeCell ref="H23:I23"/>
    <mergeCell ref="H24:I24"/>
    <mergeCell ref="H31:I31"/>
    <mergeCell ref="H32:I32"/>
    <mergeCell ref="H19:I19"/>
    <mergeCell ref="H12:I12"/>
    <mergeCell ref="H13:I13"/>
    <mergeCell ref="E12:F12"/>
    <mergeCell ref="E22:F22"/>
    <mergeCell ref="H60:I60"/>
    <mergeCell ref="H61:I61"/>
    <mergeCell ref="H62:I62"/>
    <mergeCell ref="H63:I63"/>
    <mergeCell ref="E61:F61"/>
    <mergeCell ref="E62:F62"/>
    <mergeCell ref="E53:F53"/>
    <mergeCell ref="E54:F54"/>
    <mergeCell ref="E55:F55"/>
    <mergeCell ref="E56:F56"/>
    <mergeCell ref="E57:F57"/>
    <mergeCell ref="H54:I54"/>
    <mergeCell ref="H53:I53"/>
    <mergeCell ref="H59:I59"/>
    <mergeCell ref="E43:F43"/>
    <mergeCell ref="E44:F44"/>
    <mergeCell ref="E45:F45"/>
    <mergeCell ref="E46:F46"/>
    <mergeCell ref="E47:F47"/>
    <mergeCell ref="E38:F38"/>
    <mergeCell ref="E39:F39"/>
    <mergeCell ref="E40:F40"/>
    <mergeCell ref="E41:F41"/>
    <mergeCell ref="E42:F42"/>
    <mergeCell ref="F9:G9"/>
    <mergeCell ref="E87:G87"/>
    <mergeCell ref="E88:G88"/>
    <mergeCell ref="E68:F68"/>
    <mergeCell ref="E69:F69"/>
    <mergeCell ref="E63:F63"/>
    <mergeCell ref="E64:F64"/>
    <mergeCell ref="E65:F65"/>
    <mergeCell ref="E66:F66"/>
    <mergeCell ref="E67:F67"/>
    <mergeCell ref="E82:G85"/>
    <mergeCell ref="E52:F52"/>
    <mergeCell ref="E58:F58"/>
    <mergeCell ref="E59:F59"/>
    <mergeCell ref="E60:F60"/>
    <mergeCell ref="E33:F33"/>
    <mergeCell ref="E34:F34"/>
    <mergeCell ref="E35:F35"/>
    <mergeCell ref="E36:F36"/>
    <mergeCell ref="E37:F37"/>
    <mergeCell ref="E48:F48"/>
    <mergeCell ref="E49:F49"/>
    <mergeCell ref="E50:F50"/>
    <mergeCell ref="E51:F51"/>
  </mergeCells>
  <phoneticPr fontId="4" type="noConversion"/>
  <conditionalFormatting sqref="F9 I9">
    <cfRule type="cellIs" dxfId="7" priority="8" operator="equal">
      <formula>"-"</formula>
    </cfRule>
    <cfRule type="cellIs" dxfId="6" priority="9" operator="equal">
      <formula>"- "</formula>
    </cfRule>
  </conditionalFormatting>
  <conditionalFormatting sqref="K12:K74">
    <cfRule type="expression" dxfId="5" priority="6">
      <formula>AND(J12&lt;&gt;"",K12="",G12=0)</formula>
    </cfRule>
  </conditionalFormatting>
  <conditionalFormatting sqref="L12:L74">
    <cfRule type="expression" dxfId="4" priority="5">
      <formula>AND(K12&lt;6,L12="")</formula>
    </cfRule>
  </conditionalFormatting>
  <conditionalFormatting sqref="J77">
    <cfRule type="expression" dxfId="3" priority="4">
      <formula>J76&lt;&gt;121</formula>
    </cfRule>
  </conditionalFormatting>
  <conditionalFormatting sqref="H12:I69">
    <cfRule type="expression" dxfId="2" priority="3">
      <formula>AND(H12="",G12=0)</formula>
    </cfRule>
  </conditionalFormatting>
  <conditionalFormatting sqref="G11:G74">
    <cfRule type="cellIs" dxfId="1" priority="2" operator="equal">
      <formula>0</formula>
    </cfRule>
  </conditionalFormatting>
  <conditionalFormatting sqref="K2:K91">
    <cfRule type="cellIs" dxfId="0" priority="1" operator="lessThan">
      <formula>6</formula>
    </cfRule>
  </conditionalFormatting>
  <dataValidations count="6">
    <dataValidation allowBlank="1" showInputMessage="1" showErrorMessage="1" error="NO SE PUEDE MODIFICAR ESTA CELDA" sqref="C79" xr:uid="{00000000-0002-0000-0000-000000000000}"/>
    <dataValidation operator="equal" showInputMessage="1" showErrorMessage="1" error="EL FORMATO DEBE SER: _x000a__x000a_AÑO-PERIODO (EN NÚMERO, SIN ESPACIOS)_x000a__x000a_EJEMPLO: 2020-1" sqref="L9" xr:uid="{00000000-0002-0000-0000-000001000000}"/>
    <dataValidation operator="greaterThan" allowBlank="1" showDropDown="1" showInputMessage="1" showErrorMessage="1" error="NO SE PUEDE MODIFICAR ESTA CELDA" sqref="F8" xr:uid="{00000000-0002-0000-0000-000002000000}"/>
    <dataValidation type="list" operator="greaterThan" allowBlank="1" showDropDown="1" showInputMessage="1" showErrorMessage="1" error="NO SE PUEDE MODIFICAR ESTA CELDA" sqref="L8" xr:uid="{00000000-0002-0000-0000-000003000000}">
      <formula1>#REF!</formula1>
    </dataValidation>
    <dataValidation showInputMessage="1" showErrorMessage="1" sqref="E11:F11" xr:uid="{00000000-0002-0000-0000-000004000000}"/>
    <dataValidation allowBlank="1" showInputMessage="1" showErrorMessage="1" error="POR FAVOR SELECCIONAR UN PROGRAMA DE LA LISTA_x000a_" sqref="F9 I9" xr:uid="{00000000-0002-0000-0000-000005000000}"/>
  </dataValidations>
  <printOptions horizontalCentered="1"/>
  <pageMargins left="0.5" right="0.5" top="0.5" bottom="0.1" header="0.31496062992125984" footer="0.31496062992125984"/>
  <pageSetup paperSize="124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greaterThan" allowBlank="1" showDropDown="1" showInputMessage="1" showErrorMessage="1" error="NO SE PUEDE MODIFICAR ESTA CELDA" xr:uid="{00000000-0002-0000-0000-000006000000}">
          <x14:formula1>
            <xm:f>Notas!#REF!</xm:f>
          </x14:formula1>
          <xm:sqref>J76:L77 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D3:U182"/>
  <sheetViews>
    <sheetView workbookViewId="0"/>
  </sheetViews>
  <sheetFormatPr baseColWidth="10" defaultColWidth="11.44140625" defaultRowHeight="14.4" x14ac:dyDescent="0.3"/>
  <sheetData>
    <row r="3" spans="4:11" x14ac:dyDescent="0.3">
      <c r="D3" s="1"/>
      <c r="H3" s="1"/>
    </row>
    <row r="12" spans="4:11" x14ac:dyDescent="0.3">
      <c r="E12" s="1"/>
      <c r="F12" s="1"/>
      <c r="G12" s="1"/>
      <c r="I12" s="1"/>
      <c r="K12" s="1"/>
    </row>
    <row r="13" spans="4:11" x14ac:dyDescent="0.3">
      <c r="E13" s="1"/>
      <c r="F13" s="1"/>
      <c r="G13" s="1"/>
      <c r="I13" s="1"/>
      <c r="K13" s="1"/>
    </row>
    <row r="14" spans="4:11" x14ac:dyDescent="0.3">
      <c r="E14" s="1"/>
      <c r="F14" s="1"/>
      <c r="G14" s="1"/>
      <c r="I14" s="1"/>
      <c r="K14" s="1"/>
    </row>
    <row r="15" spans="4:11" x14ac:dyDescent="0.3">
      <c r="E15" s="1"/>
      <c r="F15" s="1"/>
      <c r="G15" s="1"/>
      <c r="I15" s="1"/>
      <c r="K15" s="1"/>
    </row>
    <row r="16" spans="4:11" x14ac:dyDescent="0.3">
      <c r="E16" s="1"/>
      <c r="F16" s="1"/>
      <c r="G16" s="1"/>
      <c r="I16" s="1"/>
      <c r="J16" s="1"/>
      <c r="K16" s="1"/>
    </row>
    <row r="17" spans="5:21" x14ac:dyDescent="0.3">
      <c r="E17" s="1"/>
      <c r="F17" s="1"/>
      <c r="G17" s="1"/>
      <c r="H17" s="1"/>
      <c r="I17" s="1"/>
      <c r="J17" s="1"/>
      <c r="K17" s="1"/>
      <c r="M17" s="1"/>
      <c r="R17" s="1"/>
    </row>
    <row r="18" spans="5:21" x14ac:dyDescent="0.3">
      <c r="E18" s="1"/>
      <c r="F18" s="1"/>
      <c r="G18" s="1"/>
      <c r="H18" s="1"/>
      <c r="I18" s="1"/>
      <c r="K18" s="1"/>
      <c r="M18" s="1"/>
    </row>
    <row r="19" spans="5:21" x14ac:dyDescent="0.3">
      <c r="E19" s="1"/>
      <c r="F19" s="1"/>
      <c r="G19" s="1"/>
      <c r="H19" s="1"/>
      <c r="I19" s="1"/>
      <c r="J19" s="1"/>
      <c r="K19" s="1"/>
      <c r="M19" s="1"/>
    </row>
    <row r="20" spans="5:21" x14ac:dyDescent="0.3">
      <c r="E20" s="1"/>
      <c r="F20" s="1"/>
      <c r="G20" s="1"/>
      <c r="H20" s="1"/>
      <c r="I20" s="1"/>
      <c r="K20" s="1"/>
      <c r="M20" s="1"/>
    </row>
    <row r="21" spans="5:21" x14ac:dyDescent="0.3">
      <c r="E21" s="1"/>
      <c r="F21" s="1"/>
      <c r="G21" s="1"/>
      <c r="H21" s="1"/>
      <c r="I21" s="1"/>
      <c r="K21" s="1"/>
      <c r="M21" s="1"/>
    </row>
    <row r="22" spans="5:21" x14ac:dyDescent="0.3">
      <c r="E22" s="1"/>
      <c r="F22" s="1"/>
      <c r="G22" s="1"/>
      <c r="H22" s="1"/>
      <c r="I22" s="1"/>
      <c r="K22" s="1"/>
      <c r="M22" s="1"/>
      <c r="N22" s="1"/>
      <c r="R22" s="1"/>
    </row>
    <row r="23" spans="5:21" x14ac:dyDescent="0.3">
      <c r="E23" s="1"/>
      <c r="F23" s="1"/>
      <c r="G23" s="1"/>
      <c r="H23" s="1"/>
      <c r="I23" s="1"/>
      <c r="K23" s="1"/>
      <c r="M23" s="1"/>
      <c r="N23" s="1"/>
      <c r="R23" s="1"/>
      <c r="U23" s="1"/>
    </row>
    <row r="24" spans="5:21" x14ac:dyDescent="0.3">
      <c r="E24" s="1"/>
      <c r="I24" s="1"/>
      <c r="K24" s="1"/>
      <c r="N24" s="1"/>
      <c r="R24" s="1"/>
    </row>
    <row r="25" spans="5:21" x14ac:dyDescent="0.3">
      <c r="E25" s="1"/>
      <c r="I25" s="1"/>
      <c r="K25" s="1"/>
    </row>
    <row r="26" spans="5:21" x14ac:dyDescent="0.3">
      <c r="E26" s="1"/>
      <c r="I26" s="1"/>
      <c r="K26" s="1"/>
      <c r="N26" s="1"/>
      <c r="R26" s="1"/>
    </row>
    <row r="27" spans="5:21" x14ac:dyDescent="0.3">
      <c r="E27" s="1"/>
      <c r="F27" s="1"/>
      <c r="G27" s="1"/>
      <c r="I27" s="1"/>
      <c r="J27" s="1"/>
      <c r="K27" s="1"/>
    </row>
    <row r="28" spans="5:21" x14ac:dyDescent="0.3">
      <c r="E28" s="1"/>
      <c r="F28" s="1"/>
      <c r="G28" s="1"/>
      <c r="H28" s="1"/>
      <c r="I28" s="1"/>
      <c r="K28" s="1"/>
      <c r="L28" s="1"/>
      <c r="N28" s="1"/>
      <c r="P28" s="1"/>
      <c r="R28" s="1"/>
      <c r="T28" s="1"/>
    </row>
    <row r="29" spans="5:21" x14ac:dyDescent="0.3">
      <c r="E29" s="1"/>
      <c r="F29" s="1"/>
      <c r="G29" s="1"/>
      <c r="H29" s="1"/>
      <c r="I29" s="1"/>
      <c r="J29" s="1"/>
      <c r="K29" s="1"/>
      <c r="L29" s="1"/>
      <c r="N29" s="1"/>
    </row>
    <row r="30" spans="5:21" x14ac:dyDescent="0.3">
      <c r="E30" s="1"/>
      <c r="F30" s="1"/>
      <c r="G30" s="1"/>
      <c r="H30" s="1"/>
      <c r="I30" s="1"/>
      <c r="K30" s="1"/>
      <c r="L30" s="1"/>
      <c r="N30" s="1"/>
    </row>
    <row r="31" spans="5:21" x14ac:dyDescent="0.3">
      <c r="E31" s="1"/>
      <c r="F31" s="1"/>
      <c r="G31" s="1"/>
      <c r="H31" s="1"/>
      <c r="I31" s="1"/>
      <c r="J31" s="1"/>
      <c r="K31" s="1"/>
      <c r="L31" s="1"/>
      <c r="N31" s="1"/>
    </row>
    <row r="32" spans="5:21" x14ac:dyDescent="0.3">
      <c r="E32" s="1"/>
      <c r="F32" s="1"/>
      <c r="G32" s="1"/>
      <c r="H32" s="1"/>
      <c r="I32" s="1"/>
      <c r="J32" s="1"/>
      <c r="K32" s="1"/>
      <c r="L32" s="1"/>
      <c r="N32" s="1"/>
    </row>
    <row r="33" spans="5:21" x14ac:dyDescent="0.3"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5:21" x14ac:dyDescent="0.3">
      <c r="E34" s="1"/>
      <c r="F34" s="1"/>
      <c r="G34" s="1"/>
      <c r="H34" s="1"/>
      <c r="I34" s="1"/>
      <c r="K34" s="1"/>
      <c r="L34" s="1"/>
      <c r="M34" s="1"/>
      <c r="N34" s="1"/>
      <c r="R34" s="1"/>
    </row>
    <row r="35" spans="5:21" x14ac:dyDescent="0.3">
      <c r="E35" s="1"/>
      <c r="F35" s="1"/>
      <c r="G35" s="1"/>
      <c r="H35" s="1"/>
      <c r="I35" s="1"/>
      <c r="K35" s="1"/>
      <c r="L35" s="1"/>
      <c r="M35" s="1"/>
      <c r="N35" s="1"/>
    </row>
    <row r="36" spans="5:21" x14ac:dyDescent="0.3">
      <c r="E36" s="1"/>
      <c r="F36" s="1"/>
      <c r="G36" s="1"/>
      <c r="H36" s="1"/>
      <c r="I36" s="1"/>
      <c r="K36" s="1"/>
      <c r="M36" s="1"/>
    </row>
    <row r="37" spans="5:21" x14ac:dyDescent="0.3">
      <c r="E37" s="1"/>
      <c r="F37" s="1"/>
      <c r="G37" s="1"/>
      <c r="I37" s="1"/>
      <c r="K37" s="1"/>
      <c r="M37" s="1"/>
    </row>
    <row r="38" spans="5:21" x14ac:dyDescent="0.3">
      <c r="E38" s="1"/>
      <c r="F38" s="1"/>
      <c r="G38" s="1"/>
      <c r="I38" s="1"/>
      <c r="K38" s="1"/>
      <c r="M38" s="1"/>
      <c r="N38" s="1"/>
      <c r="R38" s="1"/>
    </row>
    <row r="39" spans="5:21" x14ac:dyDescent="0.3">
      <c r="G39" s="1"/>
      <c r="K39" s="1"/>
      <c r="M39" s="1"/>
      <c r="N39" s="1"/>
      <c r="R39" s="1"/>
    </row>
    <row r="40" spans="5:21" x14ac:dyDescent="0.3">
      <c r="G40" s="1"/>
      <c r="K40" s="1"/>
      <c r="M40" s="1"/>
      <c r="N40" s="1"/>
      <c r="Q40" s="1"/>
      <c r="R40" s="1"/>
      <c r="U40" s="1"/>
    </row>
    <row r="41" spans="5:21" x14ac:dyDescent="0.3">
      <c r="G41" s="1"/>
      <c r="K41" s="1"/>
      <c r="M41" s="1"/>
      <c r="N41" s="1"/>
      <c r="R41" s="1"/>
    </row>
    <row r="42" spans="5:21" x14ac:dyDescent="0.3">
      <c r="G42" s="1"/>
      <c r="K42" s="1"/>
      <c r="M42" s="1"/>
      <c r="N42" s="1"/>
      <c r="R42" s="1"/>
    </row>
    <row r="43" spans="5:21" x14ac:dyDescent="0.3">
      <c r="E43" s="1"/>
      <c r="F43" s="1"/>
      <c r="G43" s="1"/>
      <c r="I43" s="1"/>
      <c r="K43" s="1"/>
      <c r="N43" s="1"/>
      <c r="R43" s="1"/>
    </row>
    <row r="44" spans="5:21" x14ac:dyDescent="0.3">
      <c r="E44" s="1"/>
      <c r="F44" s="1"/>
      <c r="G44" s="1"/>
      <c r="I44" s="1"/>
      <c r="K44" s="1"/>
    </row>
    <row r="45" spans="5:21" x14ac:dyDescent="0.3">
      <c r="E45" s="1"/>
      <c r="F45" s="1"/>
      <c r="G45" s="1"/>
      <c r="I45" s="1"/>
      <c r="K45" s="1"/>
    </row>
    <row r="46" spans="5:21" x14ac:dyDescent="0.3">
      <c r="E46" s="1"/>
      <c r="F46" s="1"/>
      <c r="G46" s="1"/>
      <c r="I46" s="1"/>
      <c r="J46" s="1"/>
      <c r="K46" s="1"/>
    </row>
    <row r="47" spans="5:21" x14ac:dyDescent="0.3">
      <c r="E47" s="1"/>
      <c r="F47" s="1"/>
      <c r="G47" s="1"/>
      <c r="I47" s="1"/>
      <c r="J47" s="1"/>
      <c r="K47" s="1"/>
      <c r="P47" s="1"/>
      <c r="T47" s="1"/>
    </row>
    <row r="48" spans="5:21" x14ac:dyDescent="0.3">
      <c r="E48" s="1"/>
      <c r="F48" s="1"/>
      <c r="G48" s="1"/>
      <c r="I48" s="1"/>
      <c r="K48" s="1"/>
    </row>
    <row r="49" spans="5:20" x14ac:dyDescent="0.3">
      <c r="E49" s="1"/>
      <c r="F49" s="1"/>
      <c r="G49" s="1"/>
      <c r="I49" s="1"/>
      <c r="J49" s="1"/>
      <c r="K49" s="1"/>
    </row>
    <row r="50" spans="5:20" x14ac:dyDescent="0.3">
      <c r="E50" s="1"/>
      <c r="F50" s="1"/>
      <c r="G50" s="1"/>
      <c r="I50" s="1"/>
      <c r="K50" s="1"/>
    </row>
    <row r="51" spans="5:20" x14ac:dyDescent="0.3">
      <c r="E51" s="1"/>
      <c r="F51" s="1"/>
      <c r="G51" s="1"/>
      <c r="I51" s="1"/>
      <c r="K51" s="1"/>
    </row>
    <row r="52" spans="5:20" x14ac:dyDescent="0.3">
      <c r="E52" s="1"/>
      <c r="F52" s="1"/>
      <c r="G52" s="1"/>
      <c r="H52" s="1"/>
      <c r="I52" s="1"/>
      <c r="K52" s="1"/>
      <c r="M52" s="1"/>
    </row>
    <row r="53" spans="5:20" x14ac:dyDescent="0.3">
      <c r="E53" s="1"/>
      <c r="F53" s="1"/>
      <c r="G53" s="1"/>
      <c r="H53" s="1"/>
      <c r="I53" s="1"/>
      <c r="K53" s="1"/>
      <c r="M53" s="1"/>
    </row>
    <row r="54" spans="5:20" x14ac:dyDescent="0.3">
      <c r="E54" s="1"/>
      <c r="F54" s="1"/>
      <c r="G54" s="1"/>
      <c r="H54" s="1"/>
      <c r="I54" s="1"/>
      <c r="K54" s="1"/>
      <c r="L54" s="1"/>
      <c r="M54" s="1"/>
      <c r="N54" s="1"/>
      <c r="R54" s="1"/>
    </row>
    <row r="55" spans="5:20" x14ac:dyDescent="0.3">
      <c r="E55" s="1"/>
      <c r="F55" s="1"/>
      <c r="G55" s="1"/>
      <c r="H55" s="1"/>
      <c r="I55" s="1"/>
      <c r="K55" s="1"/>
      <c r="M55" s="1"/>
      <c r="N55" s="1"/>
      <c r="R55" s="1"/>
    </row>
    <row r="56" spans="5:20" x14ac:dyDescent="0.3">
      <c r="E56" s="1"/>
      <c r="F56" s="1"/>
      <c r="G56" s="1"/>
      <c r="H56" s="1"/>
      <c r="I56" s="1"/>
      <c r="K56" s="1"/>
      <c r="M56" s="1"/>
      <c r="N56" s="1"/>
      <c r="R56" s="1"/>
    </row>
    <row r="57" spans="5:20" x14ac:dyDescent="0.3">
      <c r="G57" s="1"/>
      <c r="H57" s="1"/>
      <c r="I57" s="1"/>
      <c r="K57" s="1"/>
      <c r="M57" s="1"/>
      <c r="N57" s="1"/>
      <c r="R57" s="1"/>
    </row>
    <row r="58" spans="5:20" x14ac:dyDescent="0.3">
      <c r="G58" s="1"/>
      <c r="H58" s="1"/>
      <c r="I58" s="1"/>
      <c r="K58" s="1"/>
      <c r="M58" s="1"/>
      <c r="N58" s="1"/>
      <c r="R58" s="1"/>
    </row>
    <row r="59" spans="5:20" x14ac:dyDescent="0.3">
      <c r="E59" s="1"/>
      <c r="G59" s="1"/>
      <c r="H59" s="1"/>
      <c r="I59" s="1"/>
      <c r="K59" s="1"/>
      <c r="M59" s="1"/>
      <c r="N59" s="1"/>
      <c r="R59" s="1"/>
    </row>
    <row r="60" spans="5:20" x14ac:dyDescent="0.3">
      <c r="E60" s="1"/>
      <c r="I60" s="1"/>
      <c r="K60" s="1"/>
      <c r="N60" s="1"/>
      <c r="R60" s="1"/>
    </row>
    <row r="61" spans="5:20" x14ac:dyDescent="0.3">
      <c r="E61" s="1"/>
      <c r="F61" s="1"/>
      <c r="G61" s="1"/>
      <c r="I61" s="1"/>
      <c r="K61" s="1"/>
      <c r="N61" s="1"/>
      <c r="R61" s="1"/>
    </row>
    <row r="62" spans="5:20" x14ac:dyDescent="0.3">
      <c r="E62" s="1"/>
      <c r="F62" s="1"/>
      <c r="G62" s="1"/>
      <c r="I62" s="1"/>
      <c r="K62" s="1"/>
    </row>
    <row r="63" spans="5:20" x14ac:dyDescent="0.3">
      <c r="E63" s="1"/>
      <c r="F63" s="1"/>
      <c r="G63" s="1"/>
      <c r="I63" s="1"/>
      <c r="J63" s="1"/>
      <c r="K63" s="1"/>
    </row>
    <row r="64" spans="5:20" x14ac:dyDescent="0.3">
      <c r="E64" s="1"/>
      <c r="F64" s="1"/>
      <c r="G64" s="1"/>
      <c r="I64" s="1"/>
      <c r="J64" s="1"/>
      <c r="K64" s="1"/>
      <c r="P64" s="1"/>
      <c r="T64" s="1"/>
    </row>
    <row r="65" spans="5:20" x14ac:dyDescent="0.3">
      <c r="E65" s="1"/>
      <c r="F65" s="1"/>
      <c r="G65" s="1"/>
      <c r="I65" s="1"/>
      <c r="J65" s="1"/>
      <c r="K65" s="1"/>
    </row>
    <row r="66" spans="5:20" x14ac:dyDescent="0.3">
      <c r="E66" s="1"/>
      <c r="F66" s="1"/>
      <c r="G66" s="1"/>
      <c r="I66" s="1"/>
      <c r="J66" s="1"/>
      <c r="K66" s="1"/>
    </row>
    <row r="67" spans="5:20" x14ac:dyDescent="0.3">
      <c r="E67" s="1"/>
      <c r="F67" s="1"/>
      <c r="G67" s="1"/>
      <c r="I67" s="1"/>
      <c r="K67" s="1"/>
    </row>
    <row r="68" spans="5:20" x14ac:dyDescent="0.3">
      <c r="E68" s="1"/>
      <c r="F68" s="1"/>
      <c r="G68" s="1"/>
      <c r="I68" s="1"/>
      <c r="K68" s="1"/>
    </row>
    <row r="69" spans="5:20" x14ac:dyDescent="0.3">
      <c r="E69" s="1"/>
      <c r="F69" s="1"/>
      <c r="G69" s="1"/>
      <c r="H69" s="1"/>
      <c r="I69" s="1"/>
      <c r="K69" s="1"/>
      <c r="M69" s="1"/>
    </row>
    <row r="70" spans="5:20" x14ac:dyDescent="0.3">
      <c r="E70" s="1"/>
      <c r="F70" s="1"/>
      <c r="G70" s="1"/>
      <c r="H70" s="1"/>
      <c r="I70" s="1"/>
      <c r="K70" s="1"/>
      <c r="M70" s="1"/>
    </row>
    <row r="71" spans="5:20" x14ac:dyDescent="0.3">
      <c r="E71" s="1"/>
      <c r="F71" s="1"/>
      <c r="G71" s="1"/>
      <c r="H71" s="1"/>
      <c r="I71" s="1"/>
      <c r="K71" s="1"/>
      <c r="M71" s="1"/>
    </row>
    <row r="72" spans="5:20" x14ac:dyDescent="0.3">
      <c r="E72" s="1"/>
      <c r="F72" s="1"/>
      <c r="G72" s="1"/>
      <c r="H72" s="1"/>
      <c r="I72" s="1"/>
      <c r="K72" s="1"/>
      <c r="M72" s="1"/>
    </row>
    <row r="73" spans="5:20" x14ac:dyDescent="0.3">
      <c r="E73" s="1"/>
      <c r="F73" s="1"/>
      <c r="G73" s="1"/>
      <c r="H73" s="1"/>
      <c r="I73" s="1"/>
      <c r="K73" s="1"/>
      <c r="M73" s="1"/>
      <c r="N73" s="1"/>
      <c r="R73" s="1"/>
    </row>
    <row r="74" spans="5:20" x14ac:dyDescent="0.3">
      <c r="E74" s="1"/>
      <c r="G74" s="1"/>
      <c r="H74" s="1"/>
      <c r="I74" s="1"/>
      <c r="K74" s="1"/>
      <c r="M74" s="1"/>
      <c r="N74" s="1"/>
      <c r="R74" s="1"/>
    </row>
    <row r="75" spans="5:20" x14ac:dyDescent="0.3">
      <c r="E75" s="1"/>
      <c r="F75" s="1"/>
      <c r="G75" s="1"/>
      <c r="H75" s="1"/>
      <c r="I75" s="1"/>
      <c r="K75" s="1"/>
      <c r="M75" s="1"/>
      <c r="N75" s="1"/>
      <c r="R75" s="1"/>
    </row>
    <row r="76" spans="5:20" x14ac:dyDescent="0.3">
      <c r="N76" s="1"/>
      <c r="R76" s="1"/>
    </row>
    <row r="77" spans="5:20" x14ac:dyDescent="0.3">
      <c r="N77" s="1"/>
      <c r="R77" s="1"/>
    </row>
    <row r="78" spans="5:20" x14ac:dyDescent="0.3">
      <c r="E78" s="1"/>
      <c r="F78" s="1"/>
      <c r="G78" s="1"/>
      <c r="I78" s="1"/>
      <c r="K78" s="1"/>
      <c r="N78" s="1"/>
      <c r="R78" s="1"/>
    </row>
    <row r="79" spans="5:20" x14ac:dyDescent="0.3">
      <c r="E79" s="1"/>
      <c r="F79" s="1"/>
      <c r="G79" s="1"/>
      <c r="I79" s="1"/>
      <c r="K79" s="1"/>
    </row>
    <row r="80" spans="5:20" x14ac:dyDescent="0.3">
      <c r="E80" s="1"/>
      <c r="F80" s="1"/>
      <c r="G80" s="1"/>
      <c r="I80" s="1"/>
      <c r="J80" s="1"/>
      <c r="K80" s="1"/>
      <c r="N80" s="1"/>
      <c r="P80" s="1"/>
      <c r="R80" s="1"/>
      <c r="T80" s="1"/>
    </row>
    <row r="81" spans="5:18" x14ac:dyDescent="0.3">
      <c r="E81" s="1"/>
      <c r="F81" s="1"/>
      <c r="G81" s="1"/>
      <c r="I81" s="1"/>
      <c r="J81" s="1"/>
      <c r="K81" s="1"/>
    </row>
    <row r="82" spans="5:18" x14ac:dyDescent="0.3">
      <c r="E82" s="1"/>
      <c r="F82" s="1"/>
      <c r="G82" s="1"/>
      <c r="I82" s="1"/>
      <c r="J82" s="1"/>
      <c r="K82" s="1"/>
    </row>
    <row r="83" spans="5:18" x14ac:dyDescent="0.3">
      <c r="E83" s="1"/>
      <c r="F83" s="1"/>
      <c r="G83" s="1"/>
      <c r="I83" s="1"/>
      <c r="J83" s="1"/>
      <c r="K83" s="1"/>
    </row>
    <row r="84" spans="5:18" x14ac:dyDescent="0.3">
      <c r="E84" s="1"/>
      <c r="F84" s="1"/>
      <c r="G84" s="1"/>
      <c r="I84" s="1"/>
      <c r="J84" s="1"/>
      <c r="K84" s="1"/>
    </row>
    <row r="85" spans="5:18" x14ac:dyDescent="0.3">
      <c r="E85" s="1"/>
      <c r="F85" s="1"/>
      <c r="G85" s="1"/>
      <c r="H85" s="1"/>
      <c r="I85" s="1"/>
      <c r="J85" s="1"/>
      <c r="K85" s="1"/>
      <c r="L85" s="1"/>
      <c r="M85" s="1"/>
    </row>
    <row r="86" spans="5:18" x14ac:dyDescent="0.3">
      <c r="E86" s="1"/>
      <c r="F86" s="1"/>
      <c r="G86" s="1"/>
      <c r="H86" s="1"/>
      <c r="I86" s="1"/>
      <c r="J86" s="1"/>
      <c r="K86" s="1"/>
      <c r="M86" s="1"/>
    </row>
    <row r="87" spans="5:18" x14ac:dyDescent="0.3">
      <c r="E87" s="1"/>
      <c r="F87" s="1"/>
      <c r="G87" s="1"/>
      <c r="H87" s="1"/>
      <c r="I87" s="1"/>
      <c r="K87" s="1"/>
      <c r="M87" s="1"/>
    </row>
    <row r="88" spans="5:18" x14ac:dyDescent="0.3">
      <c r="E88" s="1"/>
      <c r="F88" s="1"/>
      <c r="G88" s="1"/>
      <c r="H88" s="1"/>
      <c r="I88" s="1"/>
      <c r="J88" s="1"/>
      <c r="K88" s="1"/>
      <c r="M88" s="1"/>
    </row>
    <row r="89" spans="5:18" x14ac:dyDescent="0.3">
      <c r="E89" s="1"/>
      <c r="F89" s="1"/>
      <c r="G89" s="1"/>
      <c r="I89" s="1"/>
      <c r="K89" s="1"/>
      <c r="M89" s="1"/>
    </row>
    <row r="90" spans="5:18" x14ac:dyDescent="0.3">
      <c r="E90" s="1"/>
      <c r="F90" s="1"/>
      <c r="G90" s="1"/>
      <c r="H90" s="1"/>
      <c r="I90" s="1"/>
      <c r="K90" s="1"/>
      <c r="M90" s="1"/>
      <c r="N90" s="1"/>
      <c r="R90" s="1"/>
    </row>
    <row r="91" spans="5:18" x14ac:dyDescent="0.3">
      <c r="E91" s="1"/>
      <c r="G91" s="1"/>
      <c r="H91" s="1"/>
      <c r="I91" s="1"/>
      <c r="K91" s="1"/>
      <c r="M91" s="1"/>
      <c r="N91" s="1"/>
      <c r="R91" s="1"/>
    </row>
    <row r="92" spans="5:18" x14ac:dyDescent="0.3">
      <c r="E92" s="1"/>
      <c r="F92" s="1"/>
      <c r="G92" s="1"/>
      <c r="H92" s="1"/>
      <c r="I92" s="1"/>
      <c r="J92" s="1"/>
      <c r="K92" s="1"/>
      <c r="M92" s="1"/>
      <c r="N92" s="1"/>
      <c r="R92" s="1"/>
    </row>
    <row r="93" spans="5:18" x14ac:dyDescent="0.3">
      <c r="E93" s="1"/>
      <c r="F93" s="1"/>
      <c r="G93" s="1"/>
      <c r="I93" s="1"/>
      <c r="K93" s="1"/>
      <c r="N93" s="1"/>
      <c r="R93" s="1"/>
    </row>
    <row r="94" spans="5:18" x14ac:dyDescent="0.3">
      <c r="E94" s="1"/>
      <c r="F94" s="1"/>
      <c r="G94" s="1"/>
      <c r="I94" s="1"/>
      <c r="K94" s="1"/>
      <c r="N94" s="1"/>
      <c r="R94" s="1"/>
    </row>
    <row r="95" spans="5:18" x14ac:dyDescent="0.3">
      <c r="E95" s="1"/>
      <c r="F95" s="1"/>
      <c r="G95" s="1"/>
      <c r="I95" s="1"/>
      <c r="K95" s="1"/>
      <c r="N95" s="1"/>
      <c r="R95" s="1"/>
    </row>
    <row r="96" spans="5:18" x14ac:dyDescent="0.3">
      <c r="E96" s="1"/>
      <c r="F96" s="1"/>
      <c r="G96" s="1"/>
      <c r="I96" s="1"/>
      <c r="J96" s="1"/>
      <c r="K96" s="1"/>
    </row>
    <row r="97" spans="5:20" x14ac:dyDescent="0.3">
      <c r="E97" s="1"/>
      <c r="F97" s="1"/>
      <c r="G97" s="1"/>
      <c r="I97" s="1"/>
      <c r="J97" s="1"/>
      <c r="K97" s="1"/>
      <c r="P97" s="1"/>
      <c r="T97" s="1"/>
    </row>
    <row r="98" spans="5:20" x14ac:dyDescent="0.3">
      <c r="E98" s="1"/>
      <c r="F98" s="1"/>
      <c r="G98" s="1"/>
      <c r="I98" s="1"/>
      <c r="K98" s="1"/>
    </row>
    <row r="99" spans="5:20" x14ac:dyDescent="0.3">
      <c r="E99" s="1"/>
      <c r="F99" s="1"/>
      <c r="G99" s="1"/>
      <c r="I99" s="1"/>
      <c r="J99" s="1"/>
      <c r="K99" s="1"/>
      <c r="N99" s="1"/>
      <c r="R99" s="1"/>
    </row>
    <row r="100" spans="5:20" x14ac:dyDescent="0.3">
      <c r="E100" s="1"/>
      <c r="F100" s="1"/>
      <c r="G100" s="1"/>
      <c r="I100" s="1"/>
      <c r="J100" s="1"/>
      <c r="K100" s="1"/>
    </row>
    <row r="101" spans="5:20" x14ac:dyDescent="0.3">
      <c r="E101" s="1"/>
      <c r="F101" s="1"/>
      <c r="G101" s="1"/>
      <c r="I101" s="1"/>
      <c r="J101" s="1"/>
      <c r="K101" s="1"/>
    </row>
    <row r="102" spans="5:20" x14ac:dyDescent="0.3">
      <c r="E102" s="1"/>
      <c r="F102" s="1"/>
      <c r="G102" s="1"/>
      <c r="H102" s="1"/>
      <c r="I102" s="1"/>
      <c r="J102" s="1"/>
      <c r="K102" s="1"/>
      <c r="M102" s="1"/>
    </row>
    <row r="103" spans="5:20" x14ac:dyDescent="0.3">
      <c r="E103" s="1"/>
      <c r="F103" s="1"/>
      <c r="G103" s="1"/>
      <c r="H103" s="1"/>
      <c r="I103" s="1"/>
      <c r="J103" s="1"/>
      <c r="K103" s="1"/>
      <c r="M103" s="1"/>
    </row>
    <row r="104" spans="5:20" x14ac:dyDescent="0.3">
      <c r="E104" s="1"/>
      <c r="F104" s="1"/>
      <c r="G104" s="1"/>
      <c r="H104" s="1"/>
      <c r="I104" s="1"/>
      <c r="K104" s="1"/>
      <c r="M104" s="1"/>
    </row>
    <row r="105" spans="5:20" x14ac:dyDescent="0.3">
      <c r="E105" s="1"/>
      <c r="F105" s="1"/>
      <c r="G105" s="1"/>
      <c r="H105" s="1"/>
      <c r="I105" s="1"/>
      <c r="K105" s="1"/>
      <c r="M105" s="1"/>
    </row>
    <row r="106" spans="5:20" x14ac:dyDescent="0.3">
      <c r="E106" s="1"/>
      <c r="F106" s="1"/>
      <c r="G106" s="1"/>
      <c r="I106" s="1"/>
      <c r="K106" s="1"/>
      <c r="M106" s="1"/>
    </row>
    <row r="107" spans="5:20" x14ac:dyDescent="0.3">
      <c r="E107" s="1"/>
      <c r="F107" s="1"/>
      <c r="G107" s="1"/>
      <c r="H107" s="1"/>
      <c r="I107" s="1"/>
      <c r="J107" s="1"/>
      <c r="K107" s="1"/>
      <c r="M107" s="1"/>
      <c r="N107" s="1"/>
      <c r="R107" s="1"/>
    </row>
    <row r="108" spans="5:20" x14ac:dyDescent="0.3">
      <c r="E108" s="1"/>
      <c r="F108" s="1"/>
      <c r="G108" s="1"/>
      <c r="H108" s="1"/>
      <c r="I108" s="1"/>
      <c r="K108" s="1"/>
      <c r="M108" s="1"/>
      <c r="N108" s="1"/>
      <c r="R108" s="1"/>
    </row>
    <row r="109" spans="5:20" x14ac:dyDescent="0.3">
      <c r="E109" s="1"/>
      <c r="F109" s="1"/>
      <c r="G109" s="1"/>
      <c r="H109" s="1"/>
      <c r="I109" s="1"/>
      <c r="K109" s="1"/>
      <c r="M109" s="1"/>
      <c r="N109" s="1"/>
      <c r="R109" s="1"/>
    </row>
    <row r="110" spans="5:20" x14ac:dyDescent="0.3">
      <c r="E110" s="1"/>
      <c r="G110" s="1"/>
      <c r="H110" s="1"/>
      <c r="I110" s="1"/>
      <c r="K110" s="1"/>
      <c r="M110" s="1"/>
      <c r="N110" s="1"/>
      <c r="R110" s="1"/>
    </row>
    <row r="111" spans="5:20" x14ac:dyDescent="0.3">
      <c r="E111" s="1"/>
      <c r="F111" s="1"/>
      <c r="G111" s="1"/>
      <c r="I111" s="1"/>
      <c r="K111" s="1"/>
      <c r="N111" s="1"/>
      <c r="R111" s="1"/>
    </row>
    <row r="112" spans="5:20" x14ac:dyDescent="0.3">
      <c r="E112" s="1"/>
      <c r="F112" s="1"/>
      <c r="G112" s="1"/>
      <c r="I112" s="1"/>
      <c r="J112" s="1"/>
      <c r="K112" s="1"/>
      <c r="N112" s="1"/>
      <c r="R112" s="1"/>
    </row>
    <row r="113" spans="5:20" x14ac:dyDescent="0.3">
      <c r="E113" s="1"/>
      <c r="F113" s="1"/>
      <c r="G113" s="1"/>
      <c r="I113" s="1"/>
      <c r="K113" s="1"/>
      <c r="N113" s="1"/>
      <c r="R113" s="1"/>
    </row>
    <row r="114" spans="5:20" x14ac:dyDescent="0.3">
      <c r="E114" s="1"/>
      <c r="F114" s="1"/>
      <c r="G114" s="1"/>
      <c r="I114" s="1"/>
      <c r="J114" s="1"/>
      <c r="K114" s="1"/>
      <c r="N114" s="1"/>
      <c r="R114" s="1"/>
    </row>
    <row r="115" spans="5:20" x14ac:dyDescent="0.3">
      <c r="E115" s="1"/>
      <c r="F115" s="1"/>
      <c r="G115" s="1"/>
      <c r="I115" s="1"/>
      <c r="K115" s="1"/>
      <c r="P115" s="1"/>
      <c r="T115" s="1"/>
    </row>
    <row r="116" spans="5:20" x14ac:dyDescent="0.3">
      <c r="E116" s="1"/>
      <c r="F116" s="1"/>
      <c r="G116" s="1"/>
      <c r="I116" s="1"/>
      <c r="J116" s="1"/>
      <c r="K116" s="1"/>
    </row>
    <row r="117" spans="5:20" x14ac:dyDescent="0.3">
      <c r="E117" s="1"/>
      <c r="F117" s="1"/>
      <c r="G117" s="1"/>
      <c r="I117" s="1"/>
      <c r="K117" s="1"/>
    </row>
    <row r="118" spans="5:20" x14ac:dyDescent="0.3">
      <c r="E118" s="1"/>
      <c r="F118" s="1"/>
      <c r="G118" s="1"/>
      <c r="I118" s="1"/>
      <c r="J118" s="1"/>
      <c r="K118" s="1"/>
      <c r="N118" s="1"/>
      <c r="R118" s="1"/>
    </row>
    <row r="119" spans="5:20" x14ac:dyDescent="0.3">
      <c r="E119" s="1"/>
      <c r="F119" s="1"/>
      <c r="G119" s="1"/>
      <c r="I119" s="1"/>
      <c r="J119" s="1"/>
      <c r="K119" s="1"/>
    </row>
    <row r="120" spans="5:20" x14ac:dyDescent="0.3">
      <c r="E120" s="1"/>
      <c r="F120" s="1"/>
      <c r="G120" s="1"/>
      <c r="H120" s="1"/>
      <c r="I120" s="1"/>
      <c r="J120" s="1"/>
      <c r="K120" s="1"/>
      <c r="M120" s="1"/>
    </row>
    <row r="121" spans="5:20" x14ac:dyDescent="0.3">
      <c r="E121" s="1"/>
      <c r="F121" s="1"/>
      <c r="G121" s="1"/>
      <c r="H121" s="1"/>
      <c r="I121" s="1"/>
      <c r="K121" s="1"/>
      <c r="M121" s="1"/>
    </row>
    <row r="122" spans="5:20" x14ac:dyDescent="0.3">
      <c r="E122" s="1"/>
      <c r="F122" s="1"/>
      <c r="G122" s="1"/>
      <c r="H122" s="1"/>
      <c r="I122" s="1"/>
      <c r="K122" s="1"/>
      <c r="M122" s="1"/>
    </row>
    <row r="123" spans="5:20" x14ac:dyDescent="0.3">
      <c r="E123" s="1"/>
      <c r="F123" s="1"/>
      <c r="G123" s="1"/>
      <c r="H123" s="1"/>
      <c r="I123" s="1"/>
      <c r="K123" s="1"/>
      <c r="M123" s="1"/>
    </row>
    <row r="124" spans="5:20" x14ac:dyDescent="0.3">
      <c r="E124" s="1"/>
      <c r="F124" s="1"/>
      <c r="G124" s="1"/>
      <c r="I124" s="1"/>
      <c r="J124" s="1"/>
      <c r="K124" s="1"/>
      <c r="M124" s="1"/>
      <c r="N124" s="1"/>
      <c r="R124" s="1"/>
    </row>
    <row r="125" spans="5:20" x14ac:dyDescent="0.3">
      <c r="E125" s="1"/>
      <c r="F125" s="1"/>
      <c r="G125" s="1"/>
      <c r="H125" s="1"/>
      <c r="I125" s="1"/>
      <c r="K125" s="1"/>
      <c r="M125" s="1"/>
      <c r="N125" s="1"/>
      <c r="R125" s="1"/>
    </row>
    <row r="126" spans="5:20" x14ac:dyDescent="0.3">
      <c r="E126" s="1"/>
      <c r="F126" s="1"/>
      <c r="G126" s="1"/>
      <c r="H126" s="1"/>
      <c r="I126" s="1"/>
      <c r="J126" s="1"/>
      <c r="K126" s="1"/>
      <c r="M126" s="1"/>
      <c r="N126" s="1"/>
      <c r="R126" s="1"/>
    </row>
    <row r="127" spans="5:20" x14ac:dyDescent="0.3">
      <c r="E127" s="1"/>
      <c r="F127" s="1"/>
      <c r="G127" s="1"/>
      <c r="H127" s="1"/>
      <c r="I127" s="1"/>
      <c r="K127" s="1"/>
      <c r="M127" s="1"/>
      <c r="N127" s="1"/>
      <c r="R127" s="1"/>
    </row>
    <row r="128" spans="5:20" x14ac:dyDescent="0.3">
      <c r="E128" s="1"/>
      <c r="F128" s="1"/>
      <c r="G128" s="1"/>
      <c r="H128" s="1"/>
      <c r="I128" s="1"/>
      <c r="K128" s="1"/>
      <c r="M128" s="1"/>
      <c r="N128" s="1"/>
      <c r="R128" s="1"/>
    </row>
    <row r="129" spans="5:20" x14ac:dyDescent="0.3">
      <c r="E129" s="1"/>
      <c r="F129" s="1"/>
      <c r="G129" s="1"/>
      <c r="H129" s="1"/>
      <c r="I129" s="1"/>
      <c r="K129" s="1"/>
      <c r="M129" s="1"/>
      <c r="N129" s="1"/>
      <c r="R129" s="1"/>
    </row>
    <row r="130" spans="5:20" x14ac:dyDescent="0.3">
      <c r="E130" s="1"/>
      <c r="F130" s="1"/>
      <c r="G130" s="1"/>
      <c r="I130" s="1"/>
      <c r="K130" s="1"/>
      <c r="N130" s="1"/>
      <c r="R130" s="1"/>
    </row>
    <row r="131" spans="5:20" x14ac:dyDescent="0.3">
      <c r="E131" s="1"/>
      <c r="F131" s="1"/>
      <c r="G131" s="1"/>
      <c r="I131" s="1"/>
      <c r="K131" s="1"/>
    </row>
    <row r="132" spans="5:20" x14ac:dyDescent="0.3">
      <c r="E132" s="1"/>
      <c r="F132" s="1"/>
      <c r="G132" s="1"/>
      <c r="I132" s="1"/>
      <c r="K132" s="1"/>
      <c r="N132" s="1"/>
      <c r="R132" s="1"/>
    </row>
    <row r="133" spans="5:20" x14ac:dyDescent="0.3">
      <c r="E133" s="1"/>
      <c r="F133" s="1"/>
      <c r="G133" s="1"/>
      <c r="I133" s="1"/>
      <c r="J133" s="1"/>
      <c r="K133" s="1"/>
    </row>
    <row r="134" spans="5:20" x14ac:dyDescent="0.3">
      <c r="E134" s="1"/>
      <c r="F134" s="1"/>
      <c r="G134" s="1"/>
      <c r="I134" s="1"/>
      <c r="K134" s="1"/>
      <c r="P134" s="1"/>
      <c r="T134" s="1"/>
    </row>
    <row r="135" spans="5:20" x14ac:dyDescent="0.3">
      <c r="E135" s="1"/>
      <c r="F135" s="1"/>
      <c r="G135" s="1"/>
      <c r="I135" s="1"/>
      <c r="J135" s="1"/>
      <c r="K135" s="1"/>
    </row>
    <row r="136" spans="5:20" x14ac:dyDescent="0.3">
      <c r="E136" s="1"/>
      <c r="F136" s="1"/>
      <c r="G136" s="1"/>
      <c r="I136" s="1"/>
      <c r="K136" s="1"/>
      <c r="N136" s="1"/>
      <c r="R136" s="1"/>
    </row>
    <row r="137" spans="5:20" x14ac:dyDescent="0.3">
      <c r="E137" s="1"/>
      <c r="F137" s="1"/>
      <c r="G137" s="1"/>
      <c r="I137" s="1"/>
      <c r="J137" s="1"/>
      <c r="K137" s="1"/>
    </row>
    <row r="138" spans="5:20" x14ac:dyDescent="0.3">
      <c r="E138" s="1"/>
      <c r="F138" s="1"/>
      <c r="G138" s="1"/>
      <c r="I138" s="1"/>
      <c r="K138" s="1"/>
    </row>
    <row r="139" spans="5:20" x14ac:dyDescent="0.3">
      <c r="E139" s="1"/>
      <c r="F139" s="1"/>
      <c r="G139" s="1"/>
      <c r="H139" s="1"/>
      <c r="I139" s="1"/>
      <c r="K139" s="1"/>
      <c r="M139" s="1"/>
    </row>
    <row r="140" spans="5:20" x14ac:dyDescent="0.3">
      <c r="E140" s="1"/>
      <c r="F140" s="1"/>
      <c r="G140" s="1"/>
      <c r="H140" s="1"/>
      <c r="I140" s="1"/>
      <c r="J140" s="1"/>
      <c r="K140" s="1"/>
      <c r="M140" s="1"/>
    </row>
    <row r="141" spans="5:20" x14ac:dyDescent="0.3">
      <c r="E141" s="1"/>
      <c r="F141" s="1"/>
      <c r="G141" s="1"/>
      <c r="H141" s="1"/>
      <c r="I141" s="1"/>
      <c r="K141" s="1"/>
      <c r="M141" s="1"/>
    </row>
    <row r="142" spans="5:20" x14ac:dyDescent="0.3">
      <c r="E142" s="1"/>
      <c r="F142" s="1"/>
      <c r="G142" s="1"/>
      <c r="H142" s="1"/>
      <c r="I142" s="1"/>
      <c r="K142" s="1"/>
      <c r="M142" s="1"/>
      <c r="N142" s="1"/>
      <c r="R142" s="1"/>
    </row>
    <row r="143" spans="5:20" x14ac:dyDescent="0.3">
      <c r="E143" s="1"/>
      <c r="F143" s="1"/>
      <c r="G143" s="1"/>
      <c r="H143" s="1"/>
      <c r="I143" s="1"/>
      <c r="K143" s="1"/>
      <c r="M143" s="1"/>
      <c r="N143" s="1"/>
      <c r="R143" s="1"/>
    </row>
    <row r="144" spans="5:20" x14ac:dyDescent="0.3">
      <c r="E144" s="1"/>
      <c r="F144" s="1"/>
      <c r="G144" s="1"/>
      <c r="H144" s="1"/>
      <c r="I144" s="1"/>
      <c r="K144" s="1"/>
      <c r="M144" s="1"/>
      <c r="N144" s="1"/>
      <c r="R144" s="1"/>
    </row>
    <row r="145" spans="5:20" x14ac:dyDescent="0.3">
      <c r="E145" s="1"/>
      <c r="F145" s="1"/>
      <c r="G145" s="1"/>
      <c r="H145" s="1"/>
      <c r="I145" s="1"/>
      <c r="K145" s="1"/>
      <c r="M145" s="1"/>
      <c r="N145" s="1"/>
      <c r="R145" s="1"/>
    </row>
    <row r="146" spans="5:20" x14ac:dyDescent="0.3">
      <c r="E146" s="1"/>
      <c r="F146" s="1"/>
      <c r="G146" s="1"/>
      <c r="H146" s="1"/>
      <c r="I146" s="1"/>
      <c r="K146" s="1"/>
      <c r="M146" s="1"/>
      <c r="N146" s="1"/>
      <c r="R146" s="1"/>
    </row>
    <row r="147" spans="5:20" x14ac:dyDescent="0.3">
      <c r="E147" s="1"/>
      <c r="F147" s="1"/>
      <c r="G147" s="1"/>
      <c r="I147" s="1"/>
      <c r="K147" s="1"/>
      <c r="N147" s="1"/>
      <c r="R147" s="1"/>
    </row>
    <row r="148" spans="5:20" x14ac:dyDescent="0.3">
      <c r="E148" s="1"/>
      <c r="F148" s="1"/>
      <c r="G148" s="1"/>
      <c r="I148" s="1"/>
      <c r="K148" s="1"/>
      <c r="N148" s="1"/>
      <c r="R148" s="1"/>
    </row>
    <row r="149" spans="5:20" x14ac:dyDescent="0.3">
      <c r="E149" s="1"/>
      <c r="F149" s="1"/>
      <c r="G149" s="1"/>
      <c r="I149" s="1"/>
      <c r="K149" s="1"/>
      <c r="N149" s="1"/>
      <c r="R149" s="1"/>
    </row>
    <row r="150" spans="5:20" x14ac:dyDescent="0.3">
      <c r="E150" s="1"/>
      <c r="F150" s="1"/>
      <c r="G150" s="1"/>
      <c r="I150" s="1"/>
      <c r="K150" s="1"/>
    </row>
    <row r="151" spans="5:20" x14ac:dyDescent="0.3">
      <c r="E151" s="1"/>
      <c r="F151" s="1"/>
      <c r="G151" s="1"/>
      <c r="I151" s="1"/>
      <c r="K151" s="1"/>
      <c r="N151" s="1"/>
      <c r="P151" s="1"/>
      <c r="R151" s="1"/>
      <c r="T151" s="1"/>
    </row>
    <row r="152" spans="5:20" x14ac:dyDescent="0.3">
      <c r="E152" s="1"/>
      <c r="F152" s="1"/>
      <c r="G152" s="1"/>
      <c r="I152" s="1"/>
      <c r="K152" s="1"/>
    </row>
    <row r="153" spans="5:20" x14ac:dyDescent="0.3">
      <c r="E153" s="1"/>
      <c r="F153" s="1"/>
      <c r="G153" s="1"/>
      <c r="I153" s="1"/>
      <c r="K153" s="1"/>
    </row>
    <row r="154" spans="5:20" x14ac:dyDescent="0.3">
      <c r="E154" s="1"/>
      <c r="F154" s="1"/>
      <c r="G154" s="1"/>
      <c r="I154" s="1"/>
      <c r="K154" s="1"/>
    </row>
    <row r="155" spans="5:20" x14ac:dyDescent="0.3">
      <c r="E155" s="1"/>
      <c r="F155" s="1"/>
      <c r="G155" s="1"/>
      <c r="I155" s="1"/>
      <c r="J155" s="1"/>
      <c r="K155" s="1"/>
      <c r="N155" s="1"/>
      <c r="R155" s="1"/>
    </row>
    <row r="156" spans="5:20" x14ac:dyDescent="0.3">
      <c r="E156" s="1"/>
      <c r="F156" s="1"/>
      <c r="G156" s="1"/>
      <c r="I156" s="1"/>
      <c r="K156" s="1"/>
    </row>
    <row r="157" spans="5:20" x14ac:dyDescent="0.3">
      <c r="E157" s="1"/>
      <c r="F157" s="1"/>
      <c r="G157" s="1"/>
      <c r="I157" s="1"/>
      <c r="K157" s="1"/>
    </row>
    <row r="158" spans="5:20" x14ac:dyDescent="0.3">
      <c r="E158" s="1"/>
      <c r="F158" s="1"/>
      <c r="G158" s="1"/>
      <c r="I158" s="1"/>
      <c r="K158" s="1"/>
    </row>
    <row r="159" spans="5:20" x14ac:dyDescent="0.3">
      <c r="E159" s="1"/>
      <c r="F159" s="1"/>
      <c r="G159" s="1"/>
      <c r="I159" s="1"/>
      <c r="K159" s="1"/>
    </row>
    <row r="160" spans="5:20" x14ac:dyDescent="0.3">
      <c r="E160" s="1"/>
      <c r="F160" s="1"/>
      <c r="G160" s="1"/>
      <c r="I160" s="1"/>
      <c r="J160" s="1"/>
      <c r="K160" s="1"/>
    </row>
    <row r="161" spans="5:18" x14ac:dyDescent="0.3">
      <c r="E161" s="1"/>
      <c r="F161" s="1"/>
      <c r="G161" s="1"/>
      <c r="I161" s="1"/>
      <c r="K161" s="1"/>
      <c r="N161" s="1"/>
      <c r="R161" s="1"/>
    </row>
    <row r="162" spans="5:18" x14ac:dyDescent="0.3">
      <c r="N162" s="1"/>
      <c r="R162" s="1"/>
    </row>
    <row r="163" spans="5:18" x14ac:dyDescent="0.3">
      <c r="N163" s="1"/>
      <c r="R163" s="1"/>
    </row>
    <row r="164" spans="5:18" x14ac:dyDescent="0.3">
      <c r="N164" s="1"/>
      <c r="R164" s="1"/>
    </row>
    <row r="165" spans="5:18" x14ac:dyDescent="0.3">
      <c r="N165" s="1"/>
      <c r="R165" s="1"/>
    </row>
    <row r="166" spans="5:18" x14ac:dyDescent="0.3">
      <c r="E166" s="1"/>
      <c r="F166" s="1"/>
      <c r="G166" s="1"/>
      <c r="I166" s="1"/>
      <c r="K166" s="1"/>
      <c r="N166" s="1"/>
      <c r="R166" s="1"/>
    </row>
    <row r="167" spans="5:18" x14ac:dyDescent="0.3">
      <c r="E167" s="1"/>
      <c r="F167" s="1"/>
      <c r="G167" s="1"/>
      <c r="I167" s="1"/>
      <c r="K167" s="1"/>
    </row>
    <row r="168" spans="5:18" x14ac:dyDescent="0.3">
      <c r="E168" s="1"/>
      <c r="F168" s="1"/>
      <c r="G168" s="1"/>
      <c r="I168" s="1"/>
      <c r="K168" s="1"/>
    </row>
    <row r="169" spans="5:18" x14ac:dyDescent="0.3">
      <c r="E169" s="1"/>
      <c r="F169" s="1"/>
      <c r="G169" s="1"/>
      <c r="I169" s="1"/>
      <c r="K169" s="1"/>
    </row>
    <row r="170" spans="5:18" x14ac:dyDescent="0.3">
      <c r="E170" s="1"/>
      <c r="F170" s="1"/>
      <c r="G170" s="1"/>
      <c r="I170" s="1"/>
      <c r="K170" s="1"/>
    </row>
    <row r="171" spans="5:18" x14ac:dyDescent="0.3">
      <c r="E171" s="1"/>
      <c r="F171" s="1"/>
      <c r="G171" s="1"/>
      <c r="I171" s="1"/>
      <c r="K171" s="1"/>
    </row>
    <row r="172" spans="5:18" x14ac:dyDescent="0.3">
      <c r="E172" s="1"/>
      <c r="F172" s="1"/>
      <c r="G172" s="1"/>
      <c r="I172" s="1"/>
      <c r="K172" s="1"/>
    </row>
    <row r="173" spans="5:18" x14ac:dyDescent="0.3">
      <c r="E173" s="1"/>
      <c r="F173" s="1"/>
      <c r="G173" s="1"/>
      <c r="I173" s="1"/>
      <c r="K173" s="1"/>
    </row>
    <row r="174" spans="5:18" x14ac:dyDescent="0.3">
      <c r="E174" s="1"/>
      <c r="F174" s="1"/>
      <c r="G174" s="1"/>
      <c r="I174" s="1"/>
      <c r="K174" s="1"/>
    </row>
    <row r="175" spans="5:18" x14ac:dyDescent="0.3">
      <c r="E175" s="1"/>
      <c r="F175" s="1"/>
      <c r="G175" s="1"/>
      <c r="I175" s="1"/>
      <c r="K175" s="1"/>
    </row>
    <row r="176" spans="5:18" x14ac:dyDescent="0.3">
      <c r="E176" s="1"/>
      <c r="F176" s="1"/>
      <c r="G176" s="1"/>
      <c r="I176" s="1"/>
      <c r="K176" s="1"/>
    </row>
    <row r="177" spans="5:18" x14ac:dyDescent="0.3">
      <c r="E177" s="1"/>
      <c r="F177" s="1"/>
      <c r="G177" s="1"/>
      <c r="I177" s="1"/>
      <c r="K177" s="1"/>
    </row>
    <row r="178" spans="5:18" x14ac:dyDescent="0.3">
      <c r="N178" s="1"/>
      <c r="R178" s="1"/>
    </row>
    <row r="179" spans="5:18" x14ac:dyDescent="0.3">
      <c r="N179" s="1"/>
      <c r="R179" s="1"/>
    </row>
    <row r="182" spans="5:18" x14ac:dyDescent="0.3">
      <c r="N182" s="1"/>
      <c r="R182" s="1"/>
    </row>
  </sheetData>
  <pageMargins left="0.7" right="0.7" top="0.75" bottom="0.75" header="0.3" footer="0.3"/>
  <pageSetup paperSize="11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1:P79"/>
  <sheetViews>
    <sheetView showGridLines="0" showRowColHeaders="0" topLeftCell="D1" workbookViewId="0">
      <selection activeCell="O7" sqref="O7"/>
    </sheetView>
  </sheetViews>
  <sheetFormatPr baseColWidth="10" defaultColWidth="11.109375" defaultRowHeight="14.4" x14ac:dyDescent="0.3"/>
  <cols>
    <col min="1" max="1" width="2.33203125" style="20" customWidth="1"/>
    <col min="2" max="2" width="5" style="20" hidden="1" customWidth="1"/>
    <col min="3" max="3" width="6.109375" style="20" hidden="1" customWidth="1"/>
    <col min="4" max="4" width="7.88671875" style="20" customWidth="1"/>
    <col min="5" max="5" width="26.88671875" style="20" customWidth="1"/>
    <col min="6" max="6" width="6.88671875" style="21" customWidth="1"/>
    <col min="7" max="7" width="2.5546875" style="20" customWidth="1"/>
    <col min="8" max="8" width="6.109375" style="20" hidden="1" customWidth="1"/>
    <col min="9" max="9" width="7.88671875" style="20" customWidth="1"/>
    <col min="10" max="10" width="26.88671875" style="20" customWidth="1"/>
    <col min="11" max="11" width="6.88671875" style="20" customWidth="1"/>
    <col min="12" max="12" width="2.5546875" style="20" customWidth="1"/>
    <col min="13" max="13" width="6.109375" style="20" hidden="1" customWidth="1"/>
    <col min="14" max="14" width="8.109375" style="20" customWidth="1"/>
    <col min="15" max="15" width="26.88671875" style="20" customWidth="1"/>
    <col min="16" max="16" width="6.88671875" style="20" customWidth="1"/>
    <col min="17" max="17" width="1.44140625" style="20" customWidth="1"/>
    <col min="18" max="16384" width="11.109375" style="20"/>
  </cols>
  <sheetData>
    <row r="1" spans="2:16" ht="12.15" customHeight="1" thickBot="1" x14ac:dyDescent="0.35"/>
    <row r="2" spans="2:16" ht="15" thickBot="1" x14ac:dyDescent="0.35">
      <c r="B2" s="195" t="s">
        <v>143</v>
      </c>
      <c r="C2" s="12"/>
      <c r="D2" s="192" t="s">
        <v>144</v>
      </c>
      <c r="E2" s="193"/>
      <c r="F2" s="194"/>
      <c r="H2" s="12"/>
      <c r="I2" s="192" t="s">
        <v>145</v>
      </c>
      <c r="J2" s="193"/>
      <c r="K2" s="194"/>
      <c r="M2" s="7"/>
      <c r="N2" s="192" t="s">
        <v>146</v>
      </c>
      <c r="O2" s="193"/>
      <c r="P2" s="194"/>
    </row>
    <row r="3" spans="2:16" ht="15" thickBot="1" x14ac:dyDescent="0.35">
      <c r="B3" s="196"/>
      <c r="C3" s="19"/>
      <c r="D3" s="12" t="s">
        <v>147</v>
      </c>
      <c r="E3" s="8" t="s">
        <v>148</v>
      </c>
      <c r="F3" s="17" t="s">
        <v>149</v>
      </c>
      <c r="H3" s="19"/>
      <c r="I3" s="12" t="s">
        <v>147</v>
      </c>
      <c r="J3" s="8" t="s">
        <v>148</v>
      </c>
      <c r="K3" s="17" t="s">
        <v>149</v>
      </c>
      <c r="M3" s="16"/>
      <c r="N3" s="12" t="s">
        <v>147</v>
      </c>
      <c r="O3" s="8" t="s">
        <v>148</v>
      </c>
      <c r="P3" s="17" t="s">
        <v>149</v>
      </c>
    </row>
    <row r="4" spans="2:16" ht="15" customHeight="1" x14ac:dyDescent="0.3">
      <c r="B4" s="13">
        <v>1</v>
      </c>
      <c r="C4" s="9" t="str">
        <f>D2&amp;$B4</f>
        <v>SPO1</v>
      </c>
      <c r="D4" s="30" t="s">
        <v>210</v>
      </c>
      <c r="E4" s="31" t="s">
        <v>211</v>
      </c>
      <c r="F4" s="30">
        <v>2</v>
      </c>
      <c r="H4" s="13" t="str">
        <f>I$2&amp;$B4</f>
        <v>SPA1</v>
      </c>
      <c r="I4" s="108" t="s">
        <v>235</v>
      </c>
      <c r="J4" s="31" t="s">
        <v>236</v>
      </c>
      <c r="K4" s="30">
        <v>3</v>
      </c>
      <c r="M4" s="13" t="str">
        <f>N$2&amp;$B4</f>
        <v>SPE1</v>
      </c>
      <c r="N4" s="30" t="s">
        <v>238</v>
      </c>
      <c r="O4" s="31" t="s">
        <v>227</v>
      </c>
      <c r="P4" s="30">
        <v>4</v>
      </c>
    </row>
    <row r="5" spans="2:16" ht="15" customHeight="1" x14ac:dyDescent="0.3">
      <c r="B5" s="14">
        <v>2</v>
      </c>
      <c r="C5" s="10" t="str">
        <f t="shared" ref="C5:C13" si="0">D$2&amp;$B5</f>
        <v>SPO2</v>
      </c>
      <c r="D5" s="32" t="s">
        <v>212</v>
      </c>
      <c r="E5" s="33" t="s">
        <v>213</v>
      </c>
      <c r="F5" s="32">
        <v>3</v>
      </c>
      <c r="H5" s="14" t="str">
        <f t="shared" ref="H5:H13" si="1">I$2&amp;$B5</f>
        <v>SPA2</v>
      </c>
      <c r="I5" s="109" t="s">
        <v>220</v>
      </c>
      <c r="J5" s="33" t="s">
        <v>221</v>
      </c>
      <c r="K5" s="32">
        <v>2</v>
      </c>
      <c r="M5" s="14" t="str">
        <f t="shared" ref="M5:M13" si="2">N$2&amp;$B5</f>
        <v>SPE2</v>
      </c>
      <c r="N5" s="32" t="s">
        <v>205</v>
      </c>
      <c r="O5" s="33" t="s">
        <v>228</v>
      </c>
      <c r="P5" s="32">
        <v>4</v>
      </c>
    </row>
    <row r="6" spans="2:16" ht="15" customHeight="1" x14ac:dyDescent="0.3">
      <c r="B6" s="14">
        <v>3</v>
      </c>
      <c r="C6" s="10" t="str">
        <f t="shared" si="0"/>
        <v>SPO3</v>
      </c>
      <c r="D6" s="32" t="s">
        <v>214</v>
      </c>
      <c r="E6" s="33" t="s">
        <v>215</v>
      </c>
      <c r="F6" s="32">
        <v>2</v>
      </c>
      <c r="H6" s="14" t="str">
        <f t="shared" si="1"/>
        <v>SPA3</v>
      </c>
      <c r="I6" s="109" t="s">
        <v>237</v>
      </c>
      <c r="J6" s="33" t="s">
        <v>222</v>
      </c>
      <c r="K6" s="32">
        <v>2</v>
      </c>
      <c r="M6" s="14" t="str">
        <f t="shared" si="2"/>
        <v>SPE3</v>
      </c>
      <c r="N6" s="32" t="s">
        <v>206</v>
      </c>
      <c r="O6" s="33" t="s">
        <v>207</v>
      </c>
      <c r="P6" s="32">
        <v>3</v>
      </c>
    </row>
    <row r="7" spans="2:16" ht="15" customHeight="1" x14ac:dyDescent="0.3">
      <c r="B7" s="14">
        <v>4</v>
      </c>
      <c r="C7" s="10" t="str">
        <f t="shared" si="0"/>
        <v>SPO4</v>
      </c>
      <c r="D7" s="32" t="s">
        <v>216</v>
      </c>
      <c r="E7" s="33" t="s">
        <v>217</v>
      </c>
      <c r="F7" s="32">
        <v>2</v>
      </c>
      <c r="H7" s="14" t="str">
        <f t="shared" si="1"/>
        <v>SPA4</v>
      </c>
      <c r="I7" s="109" t="s">
        <v>223</v>
      </c>
      <c r="J7" s="33" t="s">
        <v>224</v>
      </c>
      <c r="K7" s="32">
        <v>2</v>
      </c>
      <c r="M7" s="14" t="str">
        <f t="shared" si="2"/>
        <v>SPE4</v>
      </c>
      <c r="N7" s="32"/>
      <c r="O7" s="33"/>
      <c r="P7" s="32"/>
    </row>
    <row r="8" spans="2:16" ht="15" customHeight="1" x14ac:dyDescent="0.3">
      <c r="B8" s="14">
        <v>5</v>
      </c>
      <c r="C8" s="10" t="str">
        <f t="shared" si="0"/>
        <v>SPO5</v>
      </c>
      <c r="D8" s="32" t="s">
        <v>218</v>
      </c>
      <c r="E8" s="33" t="s">
        <v>219</v>
      </c>
      <c r="F8" s="32">
        <v>2</v>
      </c>
      <c r="H8" s="14" t="str">
        <f t="shared" si="1"/>
        <v>SPA5</v>
      </c>
      <c r="I8" s="110" t="s">
        <v>225</v>
      </c>
      <c r="J8" s="33" t="s">
        <v>226</v>
      </c>
      <c r="K8" s="32">
        <v>2</v>
      </c>
      <c r="M8" s="14" t="str">
        <f t="shared" si="2"/>
        <v>SPE5</v>
      </c>
      <c r="N8" s="32"/>
      <c r="O8" s="33"/>
      <c r="P8" s="32"/>
    </row>
    <row r="9" spans="2:16" ht="15" customHeight="1" x14ac:dyDescent="0.3">
      <c r="B9" s="14">
        <v>6</v>
      </c>
      <c r="C9" s="10" t="str">
        <f t="shared" si="0"/>
        <v>SPO6</v>
      </c>
      <c r="D9" s="32"/>
      <c r="E9" s="33"/>
      <c r="F9" s="32"/>
      <c r="H9" s="14" t="str">
        <f t="shared" si="1"/>
        <v>SPA6</v>
      </c>
      <c r="I9" s="32"/>
      <c r="J9" s="33"/>
      <c r="K9" s="32"/>
      <c r="M9" s="14" t="str">
        <f t="shared" si="2"/>
        <v>SPE6</v>
      </c>
      <c r="N9" s="32"/>
      <c r="O9" s="33"/>
      <c r="P9" s="32"/>
    </row>
    <row r="10" spans="2:16" ht="15" customHeight="1" x14ac:dyDescent="0.3">
      <c r="B10" s="14">
        <v>7</v>
      </c>
      <c r="C10" s="10" t="str">
        <f t="shared" si="0"/>
        <v>SPO7</v>
      </c>
      <c r="D10" s="32"/>
      <c r="E10" s="33"/>
      <c r="F10" s="32"/>
      <c r="H10" s="14" t="str">
        <f t="shared" si="1"/>
        <v>SPA7</v>
      </c>
      <c r="I10" s="32"/>
      <c r="J10" s="33"/>
      <c r="K10" s="32"/>
      <c r="M10" s="14" t="str">
        <f t="shared" si="2"/>
        <v>SPE7</v>
      </c>
      <c r="N10" s="32"/>
      <c r="O10" s="33"/>
      <c r="P10" s="32"/>
    </row>
    <row r="11" spans="2:16" ht="15" customHeight="1" x14ac:dyDescent="0.3">
      <c r="B11" s="14">
        <v>8</v>
      </c>
      <c r="C11" s="10" t="str">
        <f t="shared" si="0"/>
        <v>SPO8</v>
      </c>
      <c r="D11" s="32"/>
      <c r="E11" s="33"/>
      <c r="F11" s="32"/>
      <c r="H11" s="14" t="str">
        <f t="shared" si="1"/>
        <v>SPA8</v>
      </c>
      <c r="I11" s="32"/>
      <c r="J11" s="33"/>
      <c r="K11" s="32"/>
      <c r="M11" s="14" t="str">
        <f t="shared" si="2"/>
        <v>SPE8</v>
      </c>
      <c r="N11" s="32"/>
      <c r="O11" s="33"/>
      <c r="P11" s="32"/>
    </row>
    <row r="12" spans="2:16" ht="15" customHeight="1" x14ac:dyDescent="0.3">
      <c r="B12" s="14">
        <v>9</v>
      </c>
      <c r="C12" s="10" t="str">
        <f t="shared" si="0"/>
        <v>SPO9</v>
      </c>
      <c r="D12" s="32"/>
      <c r="E12" s="33"/>
      <c r="F12" s="32"/>
      <c r="H12" s="14" t="str">
        <f t="shared" si="1"/>
        <v>SPA9</v>
      </c>
      <c r="I12" s="32"/>
      <c r="J12" s="33"/>
      <c r="K12" s="32"/>
      <c r="M12" s="14" t="str">
        <f t="shared" si="2"/>
        <v>SPE9</v>
      </c>
      <c r="N12" s="32"/>
      <c r="O12" s="33"/>
      <c r="P12" s="32"/>
    </row>
    <row r="13" spans="2:16" ht="15" customHeight="1" thickBot="1" x14ac:dyDescent="0.35">
      <c r="B13" s="15">
        <v>10</v>
      </c>
      <c r="C13" s="11" t="str">
        <f t="shared" si="0"/>
        <v>SPO10</v>
      </c>
      <c r="D13" s="34"/>
      <c r="E13" s="35"/>
      <c r="F13" s="34"/>
      <c r="H13" s="15" t="str">
        <f t="shared" si="1"/>
        <v>SPA10</v>
      </c>
      <c r="I13" s="34"/>
      <c r="J13" s="35"/>
      <c r="K13" s="34"/>
      <c r="M13" s="15" t="str">
        <f t="shared" si="2"/>
        <v>SPE10</v>
      </c>
      <c r="N13" s="34"/>
      <c r="O13" s="35"/>
      <c r="P13" s="34"/>
    </row>
    <row r="14" spans="2:16" ht="15" customHeight="1" thickBot="1" x14ac:dyDescent="0.35"/>
    <row r="15" spans="2:16" ht="15" customHeight="1" thickBot="1" x14ac:dyDescent="0.35">
      <c r="B15" s="18"/>
      <c r="C15" s="18"/>
      <c r="D15" s="192" t="s">
        <v>150</v>
      </c>
      <c r="E15" s="193"/>
      <c r="F15" s="194"/>
      <c r="H15" s="18"/>
      <c r="I15" s="192" t="s">
        <v>151</v>
      </c>
      <c r="J15" s="193"/>
      <c r="K15" s="194"/>
    </row>
    <row r="16" spans="2:16" ht="15" customHeight="1" thickBot="1" x14ac:dyDescent="0.35">
      <c r="B16" s="18"/>
      <c r="C16" s="18"/>
      <c r="D16" s="12" t="s">
        <v>147</v>
      </c>
      <c r="E16" s="8" t="s">
        <v>148</v>
      </c>
      <c r="F16" s="17" t="s">
        <v>149</v>
      </c>
      <c r="H16" s="18"/>
      <c r="I16" s="12" t="s">
        <v>147</v>
      </c>
      <c r="J16" s="8" t="s">
        <v>148</v>
      </c>
      <c r="K16" s="17" t="s">
        <v>149</v>
      </c>
    </row>
    <row r="17" spans="2:11" ht="15" customHeight="1" x14ac:dyDescent="0.3">
      <c r="B17" s="18"/>
      <c r="C17" s="9" t="str">
        <f>D$15&amp;$B4</f>
        <v>ING1</v>
      </c>
      <c r="D17" s="30" t="s">
        <v>209</v>
      </c>
      <c r="E17" s="31" t="s">
        <v>229</v>
      </c>
      <c r="F17" s="30">
        <v>4</v>
      </c>
      <c r="H17" s="9" t="str">
        <f>I$15&amp;$B4</f>
        <v>LA 1</v>
      </c>
      <c r="I17" s="30" t="s">
        <v>245</v>
      </c>
      <c r="J17" s="31" t="s">
        <v>232</v>
      </c>
      <c r="K17" s="30">
        <v>2</v>
      </c>
    </row>
    <row r="18" spans="2:11" ht="15" customHeight="1" x14ac:dyDescent="0.3">
      <c r="B18" s="18"/>
      <c r="C18" s="10" t="str">
        <f t="shared" ref="C18:C26" si="3">D$15&amp;$B5</f>
        <v>ING2</v>
      </c>
      <c r="D18" s="32" t="s">
        <v>244</v>
      </c>
      <c r="E18" s="33" t="s">
        <v>230</v>
      </c>
      <c r="F18" s="32">
        <v>4</v>
      </c>
      <c r="H18" s="10" t="str">
        <f t="shared" ref="H18:H26" si="4">I$15&amp;$B5</f>
        <v>LA 2</v>
      </c>
      <c r="I18" s="32" t="s">
        <v>233</v>
      </c>
      <c r="J18" s="33" t="s">
        <v>234</v>
      </c>
      <c r="K18" s="32">
        <v>3</v>
      </c>
    </row>
    <row r="19" spans="2:11" ht="15" customHeight="1" x14ac:dyDescent="0.3">
      <c r="B19" s="18"/>
      <c r="C19" s="10" t="str">
        <f t="shared" si="3"/>
        <v>ING3</v>
      </c>
      <c r="D19" s="32" t="s">
        <v>208</v>
      </c>
      <c r="E19" s="33" t="s">
        <v>231</v>
      </c>
      <c r="F19" s="32">
        <v>3</v>
      </c>
      <c r="H19" s="10" t="str">
        <f t="shared" si="4"/>
        <v>LA 3</v>
      </c>
      <c r="I19" s="32" t="s">
        <v>239</v>
      </c>
      <c r="J19" s="33" t="s">
        <v>241</v>
      </c>
      <c r="K19" s="32">
        <v>3</v>
      </c>
    </row>
    <row r="20" spans="2:11" ht="15" customHeight="1" x14ac:dyDescent="0.3">
      <c r="B20" s="18"/>
      <c r="C20" s="10" t="str">
        <f t="shared" si="3"/>
        <v>ING4</v>
      </c>
      <c r="D20" s="32"/>
      <c r="E20" s="33"/>
      <c r="F20" s="32"/>
      <c r="H20" s="10" t="str">
        <f t="shared" si="4"/>
        <v>LA 4</v>
      </c>
      <c r="I20" s="32" t="s">
        <v>240</v>
      </c>
      <c r="J20" s="33" t="s">
        <v>242</v>
      </c>
      <c r="K20" s="32">
        <v>3</v>
      </c>
    </row>
    <row r="21" spans="2:11" ht="15" customHeight="1" x14ac:dyDescent="0.3">
      <c r="B21" s="18"/>
      <c r="C21" s="10" t="str">
        <f t="shared" si="3"/>
        <v>ING5</v>
      </c>
      <c r="D21" s="32"/>
      <c r="E21" s="33"/>
      <c r="F21" s="32"/>
      <c r="H21" s="10" t="str">
        <f t="shared" si="4"/>
        <v>LA 5</v>
      </c>
      <c r="I21" s="32"/>
      <c r="J21" s="33"/>
      <c r="K21" s="32"/>
    </row>
    <row r="22" spans="2:11" ht="15" customHeight="1" x14ac:dyDescent="0.3">
      <c r="B22" s="18"/>
      <c r="C22" s="10" t="str">
        <f t="shared" si="3"/>
        <v>ING6</v>
      </c>
      <c r="D22" s="32"/>
      <c r="E22" s="33"/>
      <c r="F22" s="32"/>
      <c r="H22" s="10" t="str">
        <f t="shared" si="4"/>
        <v>LA 6</v>
      </c>
      <c r="I22" s="32"/>
      <c r="J22" s="33"/>
      <c r="K22" s="32"/>
    </row>
    <row r="23" spans="2:11" ht="15" customHeight="1" x14ac:dyDescent="0.3">
      <c r="B23" s="18"/>
      <c r="C23" s="10" t="str">
        <f t="shared" si="3"/>
        <v>ING7</v>
      </c>
      <c r="D23" s="32"/>
      <c r="E23" s="33"/>
      <c r="F23" s="32"/>
      <c r="H23" s="10" t="str">
        <f t="shared" si="4"/>
        <v>LA 7</v>
      </c>
      <c r="I23" s="32"/>
      <c r="J23" s="33"/>
      <c r="K23" s="32"/>
    </row>
    <row r="24" spans="2:11" ht="15" customHeight="1" x14ac:dyDescent="0.3">
      <c r="B24" s="18"/>
      <c r="C24" s="10" t="str">
        <f t="shared" si="3"/>
        <v>ING8</v>
      </c>
      <c r="D24" s="32"/>
      <c r="E24" s="33"/>
      <c r="F24" s="32"/>
      <c r="H24" s="10" t="str">
        <f t="shared" si="4"/>
        <v>LA 8</v>
      </c>
      <c r="I24" s="32"/>
      <c r="J24" s="33"/>
      <c r="K24" s="32"/>
    </row>
    <row r="25" spans="2:11" ht="15" customHeight="1" x14ac:dyDescent="0.3">
      <c r="B25" s="18"/>
      <c r="C25" s="10" t="str">
        <f t="shared" si="3"/>
        <v>ING9</v>
      </c>
      <c r="D25" s="32"/>
      <c r="E25" s="33"/>
      <c r="F25" s="32"/>
      <c r="H25" s="10" t="str">
        <f t="shared" si="4"/>
        <v>LA 9</v>
      </c>
      <c r="I25" s="32"/>
      <c r="J25" s="33"/>
      <c r="K25" s="32"/>
    </row>
    <row r="26" spans="2:11" ht="15" customHeight="1" thickBot="1" x14ac:dyDescent="0.35">
      <c r="B26" s="18"/>
      <c r="C26" s="11" t="str">
        <f t="shared" si="3"/>
        <v>ING10</v>
      </c>
      <c r="D26" s="34"/>
      <c r="E26" s="35"/>
      <c r="F26" s="34"/>
      <c r="H26" s="11" t="str">
        <f t="shared" si="4"/>
        <v>LA 10</v>
      </c>
      <c r="I26" s="34"/>
      <c r="J26" s="35"/>
      <c r="K26" s="34"/>
    </row>
    <row r="27" spans="2:11" ht="15" customHeight="1" x14ac:dyDescent="0.3"/>
    <row r="29" spans="2:11" hidden="1" x14ac:dyDescent="0.3">
      <c r="B29" s="22">
        <v>1</v>
      </c>
      <c r="C29" s="23" t="str">
        <f>C4</f>
        <v>SPO1</v>
      </c>
      <c r="D29" s="23" t="str">
        <f>D4</f>
        <v>OF500</v>
      </c>
      <c r="E29" s="23" t="str">
        <f>E4</f>
        <v>Meteorología Marina</v>
      </c>
      <c r="F29" s="24">
        <f>F4</f>
        <v>2</v>
      </c>
    </row>
    <row r="30" spans="2:11" hidden="1" x14ac:dyDescent="0.3">
      <c r="B30" s="25">
        <v>2</v>
      </c>
      <c r="C30" s="20" t="str">
        <f t="shared" ref="C30:D30" si="5">C5</f>
        <v>SPO2</v>
      </c>
      <c r="D30" s="20" t="str">
        <f t="shared" si="5"/>
        <v>OF123</v>
      </c>
      <c r="E30" s="20" t="str">
        <f t="shared" ref="E30" si="6">E5</f>
        <v>Oceanografía Biológica</v>
      </c>
      <c r="F30" s="26">
        <f t="shared" ref="F30" si="7">F5</f>
        <v>3</v>
      </c>
    </row>
    <row r="31" spans="2:11" hidden="1" x14ac:dyDescent="0.3">
      <c r="B31" s="25">
        <v>3</v>
      </c>
      <c r="C31" s="20" t="str">
        <f t="shared" ref="C31:D31" si="8">C6</f>
        <v>SPO3</v>
      </c>
      <c r="D31" s="20" t="str">
        <f t="shared" si="8"/>
        <v>OF300</v>
      </c>
      <c r="E31" s="20" t="str">
        <f t="shared" ref="E31" si="9">E6</f>
        <v>Hidrografía</v>
      </c>
      <c r="F31" s="26">
        <f t="shared" ref="F31" si="10">F6</f>
        <v>2</v>
      </c>
    </row>
    <row r="32" spans="2:11" hidden="1" x14ac:dyDescent="0.3">
      <c r="B32" s="25">
        <v>4</v>
      </c>
      <c r="C32" s="20" t="str">
        <f t="shared" ref="C32:D32" si="11">C7</f>
        <v>SPO4</v>
      </c>
      <c r="D32" s="20" t="str">
        <f t="shared" si="11"/>
        <v>CS110</v>
      </c>
      <c r="E32" s="20" t="str">
        <f t="shared" ref="E32" si="12">E7</f>
        <v>Legislación Ambiental Marina</v>
      </c>
      <c r="F32" s="26">
        <f t="shared" ref="F32" si="13">F7</f>
        <v>2</v>
      </c>
    </row>
    <row r="33" spans="2:6" hidden="1" x14ac:dyDescent="0.3">
      <c r="B33" s="25">
        <v>5</v>
      </c>
      <c r="C33" s="20" t="str">
        <f t="shared" ref="C33:D33" si="14">C8</f>
        <v>SPO5</v>
      </c>
      <c r="D33" s="20" t="str">
        <f t="shared" si="14"/>
        <v>OF200</v>
      </c>
      <c r="E33" s="20" t="str">
        <f t="shared" ref="E33" si="15">E8</f>
        <v>Instrumentación Oceanográfica</v>
      </c>
      <c r="F33" s="26">
        <f t="shared" ref="F33" si="16">F8</f>
        <v>2</v>
      </c>
    </row>
    <row r="34" spans="2:6" hidden="1" x14ac:dyDescent="0.3">
      <c r="B34" s="25">
        <v>6</v>
      </c>
      <c r="C34" s="20" t="str">
        <f t="shared" ref="C34:D34" si="17">C9</f>
        <v>SPO6</v>
      </c>
      <c r="D34" s="20">
        <f t="shared" si="17"/>
        <v>0</v>
      </c>
      <c r="E34" s="20">
        <f t="shared" ref="E34" si="18">E9</f>
        <v>0</v>
      </c>
      <c r="F34" s="26">
        <f t="shared" ref="F34" si="19">F9</f>
        <v>0</v>
      </c>
    </row>
    <row r="35" spans="2:6" hidden="1" x14ac:dyDescent="0.3">
      <c r="B35" s="25">
        <v>7</v>
      </c>
      <c r="C35" s="20" t="str">
        <f t="shared" ref="C35:D35" si="20">C10</f>
        <v>SPO7</v>
      </c>
      <c r="D35" s="20">
        <f t="shared" si="20"/>
        <v>0</v>
      </c>
      <c r="E35" s="20">
        <f t="shared" ref="E35" si="21">E10</f>
        <v>0</v>
      </c>
      <c r="F35" s="26">
        <f t="shared" ref="F35" si="22">F10</f>
        <v>0</v>
      </c>
    </row>
    <row r="36" spans="2:6" hidden="1" x14ac:dyDescent="0.3">
      <c r="B36" s="25">
        <v>8</v>
      </c>
      <c r="C36" s="20" t="str">
        <f t="shared" ref="C36:D36" si="23">C11</f>
        <v>SPO8</v>
      </c>
      <c r="D36" s="20">
        <f t="shared" si="23"/>
        <v>0</v>
      </c>
      <c r="E36" s="20">
        <f t="shared" ref="E36" si="24">E11</f>
        <v>0</v>
      </c>
      <c r="F36" s="26">
        <f t="shared" ref="F36" si="25">F11</f>
        <v>0</v>
      </c>
    </row>
    <row r="37" spans="2:6" hidden="1" x14ac:dyDescent="0.3">
      <c r="B37" s="25">
        <v>9</v>
      </c>
      <c r="C37" s="20" t="str">
        <f t="shared" ref="C37:D37" si="26">C12</f>
        <v>SPO9</v>
      </c>
      <c r="D37" s="20">
        <f t="shared" si="26"/>
        <v>0</v>
      </c>
      <c r="E37" s="20">
        <f t="shared" ref="E37" si="27">E12</f>
        <v>0</v>
      </c>
      <c r="F37" s="26">
        <f t="shared" ref="F37" si="28">F12</f>
        <v>0</v>
      </c>
    </row>
    <row r="38" spans="2:6" hidden="1" x14ac:dyDescent="0.3">
      <c r="B38" s="25">
        <v>10</v>
      </c>
      <c r="C38" s="20" t="str">
        <f t="shared" ref="C38:D38" si="29">C13</f>
        <v>SPO10</v>
      </c>
      <c r="D38" s="20">
        <f t="shared" si="29"/>
        <v>0</v>
      </c>
      <c r="E38" s="20">
        <f t="shared" ref="E38" si="30">E13</f>
        <v>0</v>
      </c>
      <c r="F38" s="26">
        <f t="shared" ref="F38" si="31">F13</f>
        <v>0</v>
      </c>
    </row>
    <row r="39" spans="2:6" hidden="1" x14ac:dyDescent="0.3">
      <c r="B39" s="25">
        <v>11</v>
      </c>
      <c r="C39" s="20" t="str">
        <f>H4</f>
        <v>SPA1</v>
      </c>
      <c r="D39" s="20" t="str">
        <f>I4</f>
        <v>AM102</v>
      </c>
      <c r="E39" s="20" t="str">
        <f>J4</f>
        <v>Microeconomía</v>
      </c>
      <c r="F39" s="26">
        <f>K4</f>
        <v>3</v>
      </c>
    </row>
    <row r="40" spans="2:6" hidden="1" x14ac:dyDescent="0.3">
      <c r="B40" s="25">
        <v>12</v>
      </c>
      <c r="C40" s="20" t="str">
        <f t="shared" ref="C40:C48" si="32">H5</f>
        <v>SPA2</v>
      </c>
      <c r="D40" s="20" t="str">
        <f t="shared" ref="D40:F48" si="33">I5</f>
        <v>OF314</v>
      </c>
      <c r="E40" s="20" t="str">
        <f t="shared" si="33"/>
        <v>Gestión Ambiental</v>
      </c>
      <c r="F40" s="26">
        <f t="shared" si="33"/>
        <v>2</v>
      </c>
    </row>
    <row r="41" spans="2:6" hidden="1" x14ac:dyDescent="0.3">
      <c r="B41" s="25">
        <v>13</v>
      </c>
      <c r="C41" s="20" t="str">
        <f t="shared" si="32"/>
        <v>SPA3</v>
      </c>
      <c r="D41" s="20" t="str">
        <f t="shared" si="33"/>
        <v>CS145</v>
      </c>
      <c r="E41" s="20" t="str">
        <f t="shared" si="33"/>
        <v>Procesos Judiciales y Disciplinarios</v>
      </c>
      <c r="F41" s="26">
        <f t="shared" si="33"/>
        <v>2</v>
      </c>
    </row>
    <row r="42" spans="2:6" hidden="1" x14ac:dyDescent="0.3">
      <c r="B42" s="25">
        <v>14</v>
      </c>
      <c r="C42" s="20" t="str">
        <f t="shared" si="32"/>
        <v>SPA4</v>
      </c>
      <c r="D42" s="20" t="str">
        <f t="shared" si="33"/>
        <v>AM217</v>
      </c>
      <c r="E42" s="20" t="str">
        <f t="shared" si="33"/>
        <v>Sistemas Integrados de Gestión</v>
      </c>
      <c r="F42" s="26">
        <f t="shared" si="33"/>
        <v>2</v>
      </c>
    </row>
    <row r="43" spans="2:6" hidden="1" x14ac:dyDescent="0.3">
      <c r="B43" s="25">
        <v>15</v>
      </c>
      <c r="C43" s="20" t="str">
        <f t="shared" si="32"/>
        <v>SPA5</v>
      </c>
      <c r="D43" s="20" t="str">
        <f t="shared" si="33"/>
        <v>AM101</v>
      </c>
      <c r="E43" s="20" t="str">
        <f t="shared" si="33"/>
        <v>Economía I Principios</v>
      </c>
      <c r="F43" s="26">
        <f t="shared" si="33"/>
        <v>2</v>
      </c>
    </row>
    <row r="44" spans="2:6" hidden="1" x14ac:dyDescent="0.3">
      <c r="B44" s="25">
        <v>16</v>
      </c>
      <c r="C44" s="20" t="str">
        <f t="shared" si="32"/>
        <v>SPA6</v>
      </c>
      <c r="D44" s="20">
        <f t="shared" si="33"/>
        <v>0</v>
      </c>
      <c r="E44" s="20">
        <f t="shared" si="33"/>
        <v>0</v>
      </c>
      <c r="F44" s="26">
        <f t="shared" si="33"/>
        <v>0</v>
      </c>
    </row>
    <row r="45" spans="2:6" hidden="1" x14ac:dyDescent="0.3">
      <c r="B45" s="25">
        <v>17</v>
      </c>
      <c r="C45" s="20" t="str">
        <f t="shared" si="32"/>
        <v>SPA7</v>
      </c>
      <c r="D45" s="20">
        <f t="shared" si="33"/>
        <v>0</v>
      </c>
      <c r="E45" s="20">
        <f t="shared" si="33"/>
        <v>0</v>
      </c>
      <c r="F45" s="26">
        <f t="shared" si="33"/>
        <v>0</v>
      </c>
    </row>
    <row r="46" spans="2:6" hidden="1" x14ac:dyDescent="0.3">
      <c r="B46" s="25">
        <v>18</v>
      </c>
      <c r="C46" s="20" t="str">
        <f t="shared" si="32"/>
        <v>SPA8</v>
      </c>
      <c r="D46" s="20">
        <f t="shared" si="33"/>
        <v>0</v>
      </c>
      <c r="E46" s="20">
        <f t="shared" si="33"/>
        <v>0</v>
      </c>
      <c r="F46" s="26">
        <f t="shared" si="33"/>
        <v>0</v>
      </c>
    </row>
    <row r="47" spans="2:6" hidden="1" x14ac:dyDescent="0.3">
      <c r="B47" s="25">
        <v>19</v>
      </c>
      <c r="C47" s="20" t="str">
        <f t="shared" si="32"/>
        <v>SPA9</v>
      </c>
      <c r="D47" s="20">
        <f t="shared" si="33"/>
        <v>0</v>
      </c>
      <c r="E47" s="20">
        <f t="shared" si="33"/>
        <v>0</v>
      </c>
      <c r="F47" s="26">
        <f t="shared" si="33"/>
        <v>0</v>
      </c>
    </row>
    <row r="48" spans="2:6" hidden="1" x14ac:dyDescent="0.3">
      <c r="B48" s="25">
        <v>20</v>
      </c>
      <c r="C48" s="20" t="str">
        <f t="shared" si="32"/>
        <v>SPA10</v>
      </c>
      <c r="D48" s="20">
        <f t="shared" si="33"/>
        <v>0</v>
      </c>
      <c r="E48" s="20">
        <f t="shared" si="33"/>
        <v>0</v>
      </c>
      <c r="F48" s="26">
        <f t="shared" si="33"/>
        <v>0</v>
      </c>
    </row>
    <row r="49" spans="2:6" hidden="1" x14ac:dyDescent="0.3">
      <c r="B49" s="25">
        <v>21</v>
      </c>
      <c r="C49" s="20" t="str">
        <f>M4</f>
        <v>SPE1</v>
      </c>
      <c r="D49" s="20" t="str">
        <f>N4</f>
        <v>IN125</v>
      </c>
      <c r="E49" s="20" t="str">
        <f>O4</f>
        <v>Electricidad I Circuitos de Corriente Directa y Laboratorio</v>
      </c>
      <c r="F49" s="26">
        <f>P4</f>
        <v>4</v>
      </c>
    </row>
    <row r="50" spans="2:6" hidden="1" x14ac:dyDescent="0.3">
      <c r="B50" s="25">
        <v>22</v>
      </c>
      <c r="C50" s="20" t="str">
        <f t="shared" ref="C50:C58" si="34">M5</f>
        <v>SPE2</v>
      </c>
      <c r="D50" s="20" t="str">
        <f t="shared" ref="D50:F58" si="35">N5</f>
        <v>IN126</v>
      </c>
      <c r="E50" s="20" t="str">
        <f t="shared" si="35"/>
        <v>Electricidad II Circuitos de Corriente Alterna y Laboratorio</v>
      </c>
      <c r="F50" s="26">
        <f t="shared" si="35"/>
        <v>4</v>
      </c>
    </row>
    <row r="51" spans="2:6" hidden="1" x14ac:dyDescent="0.3">
      <c r="B51" s="25">
        <v>23</v>
      </c>
      <c r="C51" s="20" t="str">
        <f t="shared" si="34"/>
        <v>SPE3</v>
      </c>
      <c r="D51" s="20" t="str">
        <f t="shared" si="35"/>
        <v>IN449</v>
      </c>
      <c r="E51" s="20" t="str">
        <f t="shared" si="35"/>
        <v>Introducción a la Electrónica</v>
      </c>
      <c r="F51" s="26">
        <f t="shared" si="35"/>
        <v>3</v>
      </c>
    </row>
    <row r="52" spans="2:6" hidden="1" x14ac:dyDescent="0.3">
      <c r="B52" s="25">
        <v>24</v>
      </c>
      <c r="C52" s="20" t="str">
        <f t="shared" si="34"/>
        <v>SPE4</v>
      </c>
      <c r="D52" s="20">
        <f t="shared" si="35"/>
        <v>0</v>
      </c>
      <c r="E52" s="20">
        <f t="shared" si="35"/>
        <v>0</v>
      </c>
      <c r="F52" s="26">
        <f t="shared" si="35"/>
        <v>0</v>
      </c>
    </row>
    <row r="53" spans="2:6" hidden="1" x14ac:dyDescent="0.3">
      <c r="B53" s="25">
        <v>25</v>
      </c>
      <c r="C53" s="20" t="str">
        <f t="shared" si="34"/>
        <v>SPE5</v>
      </c>
      <c r="D53" s="20">
        <f t="shared" si="35"/>
        <v>0</v>
      </c>
      <c r="E53" s="20">
        <f t="shared" si="35"/>
        <v>0</v>
      </c>
      <c r="F53" s="26">
        <f t="shared" si="35"/>
        <v>0</v>
      </c>
    </row>
    <row r="54" spans="2:6" hidden="1" x14ac:dyDescent="0.3">
      <c r="B54" s="25">
        <v>26</v>
      </c>
      <c r="C54" s="20" t="str">
        <f t="shared" si="34"/>
        <v>SPE6</v>
      </c>
      <c r="D54" s="20">
        <f t="shared" si="35"/>
        <v>0</v>
      </c>
      <c r="E54" s="20">
        <f t="shared" si="35"/>
        <v>0</v>
      </c>
      <c r="F54" s="26">
        <f t="shared" si="35"/>
        <v>0</v>
      </c>
    </row>
    <row r="55" spans="2:6" hidden="1" x14ac:dyDescent="0.3">
      <c r="B55" s="25">
        <v>27</v>
      </c>
      <c r="C55" s="20" t="str">
        <f t="shared" si="34"/>
        <v>SPE7</v>
      </c>
      <c r="D55" s="20">
        <f t="shared" si="35"/>
        <v>0</v>
      </c>
      <c r="E55" s="20">
        <f t="shared" si="35"/>
        <v>0</v>
      </c>
      <c r="F55" s="26">
        <f t="shared" si="35"/>
        <v>0</v>
      </c>
    </row>
    <row r="56" spans="2:6" hidden="1" x14ac:dyDescent="0.3">
      <c r="B56" s="25">
        <v>28</v>
      </c>
      <c r="C56" s="20" t="str">
        <f t="shared" si="34"/>
        <v>SPE8</v>
      </c>
      <c r="D56" s="20">
        <f t="shared" si="35"/>
        <v>0</v>
      </c>
      <c r="E56" s="20">
        <f t="shared" si="35"/>
        <v>0</v>
      </c>
      <c r="F56" s="26">
        <f t="shared" si="35"/>
        <v>0</v>
      </c>
    </row>
    <row r="57" spans="2:6" hidden="1" x14ac:dyDescent="0.3">
      <c r="B57" s="25">
        <v>29</v>
      </c>
      <c r="C57" s="20" t="str">
        <f t="shared" si="34"/>
        <v>SPE9</v>
      </c>
      <c r="D57" s="20">
        <f t="shared" si="35"/>
        <v>0</v>
      </c>
      <c r="E57" s="20">
        <f t="shared" si="35"/>
        <v>0</v>
      </c>
      <c r="F57" s="26">
        <f t="shared" si="35"/>
        <v>0</v>
      </c>
    </row>
    <row r="58" spans="2:6" hidden="1" x14ac:dyDescent="0.3">
      <c r="B58" s="25">
        <v>30</v>
      </c>
      <c r="C58" s="20" t="str">
        <f t="shared" si="34"/>
        <v>SPE10</v>
      </c>
      <c r="D58" s="20">
        <f t="shared" si="35"/>
        <v>0</v>
      </c>
      <c r="E58" s="20">
        <f t="shared" si="35"/>
        <v>0</v>
      </c>
      <c r="F58" s="26">
        <f t="shared" si="35"/>
        <v>0</v>
      </c>
    </row>
    <row r="59" spans="2:6" hidden="1" x14ac:dyDescent="0.3">
      <c r="B59" s="25">
        <v>31</v>
      </c>
      <c r="C59" s="20" t="str">
        <f>C17</f>
        <v>ING1</v>
      </c>
      <c r="D59" s="20" t="str">
        <f t="shared" ref="D59:F59" si="36">D17</f>
        <v>IN600</v>
      </c>
      <c r="E59" s="20" t="str">
        <f t="shared" si="36"/>
        <v>Estática</v>
      </c>
      <c r="F59" s="26">
        <f t="shared" si="36"/>
        <v>4</v>
      </c>
    </row>
    <row r="60" spans="2:6" hidden="1" x14ac:dyDescent="0.3">
      <c r="B60" s="25">
        <v>32</v>
      </c>
      <c r="C60" s="20" t="str">
        <f t="shared" ref="C60:C68" si="37">C18</f>
        <v>ING2</v>
      </c>
      <c r="D60" s="20" t="str">
        <f t="shared" ref="D60:F60" si="38">D18</f>
        <v>CB213</v>
      </c>
      <c r="E60" s="20" t="str">
        <f t="shared" si="38"/>
        <v>Física Eléctrica</v>
      </c>
      <c r="F60" s="26">
        <f t="shared" si="38"/>
        <v>4</v>
      </c>
    </row>
    <row r="61" spans="2:6" hidden="1" x14ac:dyDescent="0.3">
      <c r="B61" s="25">
        <v>33</v>
      </c>
      <c r="C61" s="20" t="str">
        <f t="shared" si="37"/>
        <v>ING3</v>
      </c>
      <c r="D61" s="20" t="str">
        <f t="shared" ref="D61:F61" si="39">D19</f>
        <v>IN611</v>
      </c>
      <c r="E61" s="20" t="str">
        <f t="shared" si="39"/>
        <v>Principios de Mantenimiento</v>
      </c>
      <c r="F61" s="26">
        <f t="shared" si="39"/>
        <v>3</v>
      </c>
    </row>
    <row r="62" spans="2:6" hidden="1" x14ac:dyDescent="0.3">
      <c r="B62" s="25">
        <v>34</v>
      </c>
      <c r="C62" s="20" t="str">
        <f t="shared" si="37"/>
        <v>ING4</v>
      </c>
      <c r="D62" s="20">
        <f t="shared" ref="D62:F62" si="40">D20</f>
        <v>0</v>
      </c>
      <c r="E62" s="20">
        <f t="shared" si="40"/>
        <v>0</v>
      </c>
      <c r="F62" s="26">
        <f t="shared" si="40"/>
        <v>0</v>
      </c>
    </row>
    <row r="63" spans="2:6" hidden="1" x14ac:dyDescent="0.3">
      <c r="B63" s="25">
        <v>35</v>
      </c>
      <c r="C63" s="20" t="str">
        <f t="shared" si="37"/>
        <v>ING5</v>
      </c>
      <c r="D63" s="20">
        <f t="shared" ref="D63:F63" si="41">D21</f>
        <v>0</v>
      </c>
      <c r="E63" s="20">
        <f t="shared" si="41"/>
        <v>0</v>
      </c>
      <c r="F63" s="26">
        <f t="shared" si="41"/>
        <v>0</v>
      </c>
    </row>
    <row r="64" spans="2:6" hidden="1" x14ac:dyDescent="0.3">
      <c r="B64" s="25">
        <v>36</v>
      </c>
      <c r="C64" s="20" t="str">
        <f t="shared" si="37"/>
        <v>ING6</v>
      </c>
      <c r="D64" s="20">
        <f t="shared" ref="D64:F64" si="42">D22</f>
        <v>0</v>
      </c>
      <c r="E64" s="20">
        <f t="shared" si="42"/>
        <v>0</v>
      </c>
      <c r="F64" s="26">
        <f t="shared" si="42"/>
        <v>0</v>
      </c>
    </row>
    <row r="65" spans="2:6" hidden="1" x14ac:dyDescent="0.3">
      <c r="B65" s="25">
        <v>37</v>
      </c>
      <c r="C65" s="20" t="str">
        <f t="shared" si="37"/>
        <v>ING7</v>
      </c>
      <c r="D65" s="20">
        <f t="shared" ref="D65:F65" si="43">D23</f>
        <v>0</v>
      </c>
      <c r="E65" s="20">
        <f t="shared" si="43"/>
        <v>0</v>
      </c>
      <c r="F65" s="26">
        <f t="shared" si="43"/>
        <v>0</v>
      </c>
    </row>
    <row r="66" spans="2:6" hidden="1" x14ac:dyDescent="0.3">
      <c r="B66" s="25">
        <v>38</v>
      </c>
      <c r="C66" s="20" t="str">
        <f t="shared" si="37"/>
        <v>ING8</v>
      </c>
      <c r="D66" s="20">
        <f t="shared" ref="D66:F66" si="44">D24</f>
        <v>0</v>
      </c>
      <c r="E66" s="20">
        <f t="shared" si="44"/>
        <v>0</v>
      </c>
      <c r="F66" s="26">
        <f t="shared" si="44"/>
        <v>0</v>
      </c>
    </row>
    <row r="67" spans="2:6" hidden="1" x14ac:dyDescent="0.3">
      <c r="B67" s="25">
        <v>39</v>
      </c>
      <c r="C67" s="20" t="str">
        <f t="shared" si="37"/>
        <v>ING9</v>
      </c>
      <c r="D67" s="20">
        <f t="shared" ref="D67:F67" si="45">D25</f>
        <v>0</v>
      </c>
      <c r="E67" s="20">
        <f t="shared" si="45"/>
        <v>0</v>
      </c>
      <c r="F67" s="26">
        <f t="shared" si="45"/>
        <v>0</v>
      </c>
    </row>
    <row r="68" spans="2:6" hidden="1" x14ac:dyDescent="0.3">
      <c r="B68" s="25">
        <v>40</v>
      </c>
      <c r="C68" s="20" t="str">
        <f t="shared" si="37"/>
        <v>ING10</v>
      </c>
      <c r="D68" s="20">
        <f t="shared" ref="D68:F68" si="46">D26</f>
        <v>0</v>
      </c>
      <c r="E68" s="20">
        <f t="shared" si="46"/>
        <v>0</v>
      </c>
      <c r="F68" s="26">
        <f t="shared" si="46"/>
        <v>0</v>
      </c>
    </row>
    <row r="69" spans="2:6" hidden="1" x14ac:dyDescent="0.3">
      <c r="B69" s="25">
        <v>41</v>
      </c>
      <c r="C69" s="20" t="str">
        <f>H17</f>
        <v>LA 1</v>
      </c>
      <c r="D69" s="20" t="str">
        <f t="shared" ref="D69:F78" si="47">I17</f>
        <v>AM116</v>
      </c>
      <c r="E69" s="20" t="str">
        <f t="shared" si="47"/>
        <v>Principios de Economía</v>
      </c>
      <c r="F69" s="26">
        <f t="shared" si="47"/>
        <v>2</v>
      </c>
    </row>
    <row r="70" spans="2:6" hidden="1" x14ac:dyDescent="0.3">
      <c r="B70" s="25">
        <v>42</v>
      </c>
      <c r="C70" s="20" t="str">
        <f t="shared" ref="C70:C78" si="48">H18</f>
        <v>LA 2</v>
      </c>
      <c r="D70" s="20" t="str">
        <f t="shared" si="47"/>
        <v>AM202</v>
      </c>
      <c r="E70" s="20" t="str">
        <f t="shared" si="47"/>
        <v>Administración II (Planeación y Organización)</v>
      </c>
      <c r="F70" s="26">
        <f t="shared" si="47"/>
        <v>3</v>
      </c>
    </row>
    <row r="71" spans="2:6" hidden="1" x14ac:dyDescent="0.3">
      <c r="B71" s="25">
        <v>43</v>
      </c>
      <c r="C71" s="20" t="str">
        <f t="shared" si="48"/>
        <v>LA 3</v>
      </c>
      <c r="D71" s="20" t="str">
        <f t="shared" si="47"/>
        <v>AM203</v>
      </c>
      <c r="E71" s="20" t="str">
        <f t="shared" si="47"/>
        <v>Contratación Estatal</v>
      </c>
      <c r="F71" s="26">
        <f t="shared" si="47"/>
        <v>3</v>
      </c>
    </row>
    <row r="72" spans="2:6" hidden="1" x14ac:dyDescent="0.3">
      <c r="B72" s="25">
        <v>44</v>
      </c>
      <c r="C72" s="20" t="str">
        <f t="shared" si="48"/>
        <v>LA 4</v>
      </c>
      <c r="D72" s="20" t="str">
        <f t="shared" si="47"/>
        <v>AM224</v>
      </c>
      <c r="E72" s="20" t="str">
        <f t="shared" si="47"/>
        <v>Gestión del Talento Humano</v>
      </c>
      <c r="F72" s="26">
        <f t="shared" si="47"/>
        <v>3</v>
      </c>
    </row>
    <row r="73" spans="2:6" hidden="1" x14ac:dyDescent="0.3">
      <c r="B73" s="25">
        <v>45</v>
      </c>
      <c r="C73" s="20" t="str">
        <f t="shared" si="48"/>
        <v>LA 5</v>
      </c>
      <c r="D73" s="20">
        <f t="shared" si="47"/>
        <v>0</v>
      </c>
      <c r="E73" s="20">
        <f t="shared" si="47"/>
        <v>0</v>
      </c>
      <c r="F73" s="26">
        <f t="shared" si="47"/>
        <v>0</v>
      </c>
    </row>
    <row r="74" spans="2:6" hidden="1" x14ac:dyDescent="0.3">
      <c r="B74" s="25">
        <v>46</v>
      </c>
      <c r="C74" s="20" t="str">
        <f t="shared" si="48"/>
        <v>LA 6</v>
      </c>
      <c r="D74" s="20">
        <f t="shared" si="47"/>
        <v>0</v>
      </c>
      <c r="E74" s="20">
        <f t="shared" si="47"/>
        <v>0</v>
      </c>
      <c r="F74" s="26">
        <f t="shared" si="47"/>
        <v>0</v>
      </c>
    </row>
    <row r="75" spans="2:6" hidden="1" x14ac:dyDescent="0.3">
      <c r="B75" s="25">
        <v>47</v>
      </c>
      <c r="C75" s="20" t="str">
        <f t="shared" si="48"/>
        <v>LA 7</v>
      </c>
      <c r="D75" s="20">
        <f t="shared" si="47"/>
        <v>0</v>
      </c>
      <c r="E75" s="20">
        <f t="shared" si="47"/>
        <v>0</v>
      </c>
      <c r="F75" s="26">
        <f t="shared" si="47"/>
        <v>0</v>
      </c>
    </row>
    <row r="76" spans="2:6" hidden="1" x14ac:dyDescent="0.3">
      <c r="B76" s="25">
        <v>48</v>
      </c>
      <c r="C76" s="20" t="str">
        <f t="shared" si="48"/>
        <v>LA 8</v>
      </c>
      <c r="D76" s="20">
        <f t="shared" si="47"/>
        <v>0</v>
      </c>
      <c r="E76" s="20">
        <f t="shared" si="47"/>
        <v>0</v>
      </c>
      <c r="F76" s="26">
        <f t="shared" si="47"/>
        <v>0</v>
      </c>
    </row>
    <row r="77" spans="2:6" hidden="1" x14ac:dyDescent="0.3">
      <c r="B77" s="25">
        <v>49</v>
      </c>
      <c r="C77" s="20" t="str">
        <f t="shared" si="48"/>
        <v>LA 9</v>
      </c>
      <c r="D77" s="20">
        <f t="shared" si="47"/>
        <v>0</v>
      </c>
      <c r="E77" s="20">
        <f t="shared" si="47"/>
        <v>0</v>
      </c>
      <c r="F77" s="26">
        <f t="shared" si="47"/>
        <v>0</v>
      </c>
    </row>
    <row r="78" spans="2:6" ht="15" hidden="1" thickBot="1" x14ac:dyDescent="0.35">
      <c r="B78" s="27">
        <v>50</v>
      </c>
      <c r="C78" s="28" t="str">
        <f t="shared" si="48"/>
        <v>LA 10</v>
      </c>
      <c r="D78" s="28">
        <f t="shared" si="47"/>
        <v>0</v>
      </c>
      <c r="E78" s="28">
        <f t="shared" si="47"/>
        <v>0</v>
      </c>
      <c r="F78" s="29">
        <f t="shared" si="47"/>
        <v>0</v>
      </c>
    </row>
    <row r="79" spans="2:6" hidden="1" x14ac:dyDescent="0.3"/>
  </sheetData>
  <sheetProtection algorithmName="SHA-512" hashValue="sfSGG/qObR3qGsp1Ycv3yCEHNeD90c8U1I/OpuEvOPoNFRDTO0WRgVXQDqxZrrlqCh1JGeVNkX3vBV39fdvzVg==" saltValue="2e3tJ7VuHzA0nR7oCKtdAQ==" spinCount="100000" sheet="1" objects="1" scenarios="1" selectLockedCells="1"/>
  <protectedRanges>
    <protectedRange sqref="D17:F26 D4:F13 I4:K13 N4:P13 I17:K26" name="Rango1"/>
  </protectedRanges>
  <mergeCells count="6">
    <mergeCell ref="N2:P2"/>
    <mergeCell ref="D15:F15"/>
    <mergeCell ref="I15:K15"/>
    <mergeCell ref="B2:B3"/>
    <mergeCell ref="I2:K2"/>
    <mergeCell ref="D2:F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>
              <from>
                <xdr:col>14</xdr:col>
                <xdr:colOff>220980</xdr:colOff>
                <xdr:row>13</xdr:row>
                <xdr:rowOff>175260</xdr:rowOff>
              </from>
              <to>
                <xdr:col>14</xdr:col>
                <xdr:colOff>1592580</xdr:colOff>
                <xdr:row>17</xdr:row>
                <xdr:rowOff>53340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I59"/>
  <sheetViews>
    <sheetView showGridLines="0" zoomScale="115" zoomScaleNormal="115" workbookViewId="0">
      <pane ySplit="1" topLeftCell="A9" activePane="bottomLeft" state="frozen"/>
      <selection pane="bottomLeft" activeCell="H24" sqref="H24"/>
    </sheetView>
  </sheetViews>
  <sheetFormatPr baseColWidth="10" defaultColWidth="11.109375" defaultRowHeight="14.4" x14ac:dyDescent="0.3"/>
  <cols>
    <col min="1" max="1" width="10.44140625" style="81" customWidth="1"/>
    <col min="2" max="2" width="30.88671875" style="70" customWidth="1"/>
    <col min="3" max="3" width="10.44140625" style="81" customWidth="1"/>
    <col min="4" max="4" width="1.88671875" style="81" customWidth="1"/>
    <col min="5" max="5" width="10.44140625" style="81" customWidth="1"/>
    <col min="6" max="6" width="30.88671875" style="70" customWidth="1"/>
    <col min="7" max="7" width="1.88671875" style="81" customWidth="1"/>
    <col min="8" max="8" width="10.44140625" style="81" customWidth="1"/>
    <col min="9" max="9" width="34.33203125" style="70" customWidth="1"/>
    <col min="10" max="16384" width="11.109375" style="70"/>
  </cols>
  <sheetData>
    <row r="1" spans="1:9" ht="15" thickBot="1" x14ac:dyDescent="0.35">
      <c r="A1" s="16" t="s">
        <v>152</v>
      </c>
      <c r="B1" s="67" t="s">
        <v>148</v>
      </c>
      <c r="C1" s="16" t="s">
        <v>14</v>
      </c>
      <c r="D1" s="68"/>
      <c r="E1" s="12" t="s">
        <v>152</v>
      </c>
      <c r="F1" s="69" t="s">
        <v>148</v>
      </c>
      <c r="G1" s="68"/>
      <c r="H1" s="12" t="s">
        <v>152</v>
      </c>
      <c r="I1" s="69" t="s">
        <v>148</v>
      </c>
    </row>
    <row r="2" spans="1:9" x14ac:dyDescent="0.3">
      <c r="A2" s="71" t="s">
        <v>18</v>
      </c>
      <c r="B2" s="72" t="s">
        <v>19</v>
      </c>
      <c r="C2" s="71">
        <v>2</v>
      </c>
      <c r="D2" s="73"/>
      <c r="E2" s="71"/>
      <c r="F2" s="74"/>
      <c r="G2" s="73"/>
      <c r="H2" s="71"/>
      <c r="I2" s="74"/>
    </row>
    <row r="3" spans="1:9" x14ac:dyDescent="0.3">
      <c r="A3" s="75" t="s">
        <v>20</v>
      </c>
      <c r="B3" s="76" t="s">
        <v>21</v>
      </c>
      <c r="C3" s="75">
        <v>4</v>
      </c>
      <c r="D3" s="73"/>
      <c r="E3" s="75" t="s">
        <v>153</v>
      </c>
      <c r="F3" s="77" t="s">
        <v>154</v>
      </c>
      <c r="G3" s="73"/>
      <c r="H3" s="75"/>
      <c r="I3" s="77"/>
    </row>
    <row r="4" spans="1:9" x14ac:dyDescent="0.3">
      <c r="A4" s="75" t="s">
        <v>22</v>
      </c>
      <c r="B4" s="76" t="s">
        <v>23</v>
      </c>
      <c r="C4" s="75">
        <v>4</v>
      </c>
      <c r="D4" s="73"/>
      <c r="E4" s="75" t="s">
        <v>155</v>
      </c>
      <c r="F4" s="77" t="s">
        <v>156</v>
      </c>
      <c r="G4" s="73"/>
      <c r="H4" s="75"/>
      <c r="I4" s="77"/>
    </row>
    <row r="5" spans="1:9" x14ac:dyDescent="0.3">
      <c r="A5" s="75" t="s">
        <v>24</v>
      </c>
      <c r="B5" s="76" t="s">
        <v>25</v>
      </c>
      <c r="C5" s="75">
        <v>3</v>
      </c>
      <c r="D5" s="73"/>
      <c r="E5" s="75" t="s">
        <v>157</v>
      </c>
      <c r="F5" s="77" t="s">
        <v>158</v>
      </c>
      <c r="G5" s="73"/>
      <c r="H5" s="75"/>
      <c r="I5" s="77"/>
    </row>
    <row r="6" spans="1:9" x14ac:dyDescent="0.3">
      <c r="A6" s="75" t="s">
        <v>26</v>
      </c>
      <c r="B6" s="76" t="s">
        <v>27</v>
      </c>
      <c r="C6" s="75">
        <v>3</v>
      </c>
      <c r="D6" s="73"/>
      <c r="E6" s="75"/>
      <c r="F6" s="77"/>
      <c r="G6" s="73"/>
      <c r="H6" s="75"/>
      <c r="I6" s="77"/>
    </row>
    <row r="7" spans="1:9" x14ac:dyDescent="0.3">
      <c r="A7" s="75" t="s">
        <v>28</v>
      </c>
      <c r="B7" s="76" t="s">
        <v>29</v>
      </c>
      <c r="C7" s="75">
        <v>2</v>
      </c>
      <c r="D7" s="73"/>
      <c r="E7" s="75"/>
      <c r="F7" s="77"/>
      <c r="G7" s="73"/>
      <c r="H7" s="75"/>
      <c r="I7" s="77"/>
    </row>
    <row r="8" spans="1:9" x14ac:dyDescent="0.3">
      <c r="A8" s="75" t="s">
        <v>30</v>
      </c>
      <c r="B8" s="76" t="s">
        <v>31</v>
      </c>
      <c r="C8" s="75">
        <v>4</v>
      </c>
      <c r="D8" s="73"/>
      <c r="E8" s="75" t="s">
        <v>159</v>
      </c>
      <c r="F8" s="77" t="s">
        <v>160</v>
      </c>
      <c r="G8" s="73"/>
      <c r="H8" s="75"/>
      <c r="I8" s="77"/>
    </row>
    <row r="9" spans="1:9" x14ac:dyDescent="0.3">
      <c r="A9" s="75" t="s">
        <v>32</v>
      </c>
      <c r="B9" s="76" t="s">
        <v>33</v>
      </c>
      <c r="C9" s="75">
        <v>1</v>
      </c>
      <c r="D9" s="73"/>
      <c r="E9" s="75" t="s">
        <v>161</v>
      </c>
      <c r="F9" s="77" t="s">
        <v>162</v>
      </c>
      <c r="G9" s="73"/>
      <c r="H9" s="75" t="s">
        <v>163</v>
      </c>
      <c r="I9" s="77" t="s">
        <v>164</v>
      </c>
    </row>
    <row r="10" spans="1:9" x14ac:dyDescent="0.3">
      <c r="A10" s="75" t="s">
        <v>35</v>
      </c>
      <c r="B10" s="76" t="s">
        <v>36</v>
      </c>
      <c r="C10" s="75">
        <v>1</v>
      </c>
      <c r="D10" s="73"/>
      <c r="E10" s="75"/>
      <c r="F10" s="77"/>
      <c r="G10" s="73"/>
      <c r="H10" s="75"/>
      <c r="I10" s="77"/>
    </row>
    <row r="11" spans="1:9" x14ac:dyDescent="0.3">
      <c r="A11" s="75" t="s">
        <v>37</v>
      </c>
      <c r="B11" s="76" t="s">
        <v>38</v>
      </c>
      <c r="C11" s="75">
        <v>2</v>
      </c>
      <c r="D11" s="73"/>
      <c r="E11" s="75"/>
      <c r="F11" s="77"/>
      <c r="G11" s="73"/>
      <c r="H11" s="75"/>
      <c r="I11" s="77"/>
    </row>
    <row r="12" spans="1:9" x14ac:dyDescent="0.3">
      <c r="A12" s="75" t="s">
        <v>39</v>
      </c>
      <c r="B12" s="76" t="s">
        <v>40</v>
      </c>
      <c r="C12" s="75">
        <v>2</v>
      </c>
      <c r="D12" s="73"/>
      <c r="E12" s="75"/>
      <c r="F12" s="77"/>
      <c r="G12" s="73"/>
      <c r="H12" s="75"/>
      <c r="I12" s="77"/>
    </row>
    <row r="13" spans="1:9" x14ac:dyDescent="0.3">
      <c r="A13" s="75" t="s">
        <v>41</v>
      </c>
      <c r="B13" s="76" t="s">
        <v>42</v>
      </c>
      <c r="C13" s="75">
        <v>2</v>
      </c>
      <c r="D13" s="73"/>
      <c r="E13" s="75"/>
      <c r="F13" s="77"/>
      <c r="G13" s="73"/>
      <c r="H13" s="75"/>
      <c r="I13" s="77"/>
    </row>
    <row r="14" spans="1:9" x14ac:dyDescent="0.3">
      <c r="A14" s="75" t="s">
        <v>43</v>
      </c>
      <c r="B14" s="76" t="s">
        <v>44</v>
      </c>
      <c r="C14" s="75">
        <v>2</v>
      </c>
      <c r="D14" s="73"/>
      <c r="E14" s="75"/>
      <c r="F14" s="77"/>
      <c r="G14" s="73"/>
      <c r="H14" s="75"/>
      <c r="I14" s="77"/>
    </row>
    <row r="15" spans="1:9" x14ac:dyDescent="0.3">
      <c r="A15" s="75" t="s">
        <v>45</v>
      </c>
      <c r="B15" s="76" t="s">
        <v>46</v>
      </c>
      <c r="C15" s="75">
        <v>3</v>
      </c>
      <c r="D15" s="73"/>
      <c r="E15" s="75" t="s">
        <v>165</v>
      </c>
      <c r="F15" s="77" t="s">
        <v>166</v>
      </c>
      <c r="G15" s="73"/>
      <c r="H15" s="75"/>
      <c r="I15" s="77"/>
    </row>
    <row r="16" spans="1:9" x14ac:dyDescent="0.3">
      <c r="A16" s="75" t="s">
        <v>47</v>
      </c>
      <c r="B16" s="76" t="s">
        <v>48</v>
      </c>
      <c r="C16" s="75">
        <v>2</v>
      </c>
      <c r="D16" s="73"/>
      <c r="E16" s="75" t="s">
        <v>167</v>
      </c>
      <c r="F16" s="77" t="s">
        <v>48</v>
      </c>
      <c r="G16" s="73"/>
      <c r="H16" s="75"/>
      <c r="I16" s="77"/>
    </row>
    <row r="17" spans="1:9" x14ac:dyDescent="0.3">
      <c r="A17" s="75" t="s">
        <v>49</v>
      </c>
      <c r="B17" s="76" t="s">
        <v>50</v>
      </c>
      <c r="C17" s="75">
        <v>3</v>
      </c>
      <c r="D17" s="73"/>
      <c r="E17" s="75" t="s">
        <v>168</v>
      </c>
      <c r="F17" s="77" t="s">
        <v>169</v>
      </c>
      <c r="G17" s="73"/>
      <c r="H17" s="75"/>
      <c r="I17" s="77"/>
    </row>
    <row r="18" spans="1:9" x14ac:dyDescent="0.3">
      <c r="A18" s="75" t="s">
        <v>51</v>
      </c>
      <c r="B18" s="76" t="s">
        <v>52</v>
      </c>
      <c r="C18" s="75">
        <v>2</v>
      </c>
      <c r="D18" s="73"/>
      <c r="E18" s="75"/>
      <c r="F18" s="77"/>
      <c r="G18" s="73"/>
      <c r="H18" s="75"/>
      <c r="I18" s="77"/>
    </row>
    <row r="19" spans="1:9" x14ac:dyDescent="0.3">
      <c r="A19" s="75" t="s">
        <v>53</v>
      </c>
      <c r="B19" s="76" t="s">
        <v>54</v>
      </c>
      <c r="C19" s="75">
        <v>1</v>
      </c>
      <c r="D19" s="73"/>
      <c r="E19" s="75"/>
      <c r="F19" s="77"/>
      <c r="G19" s="73"/>
      <c r="H19" s="75"/>
      <c r="I19" s="77"/>
    </row>
    <row r="20" spans="1:9" x14ac:dyDescent="0.3">
      <c r="A20" s="75" t="s">
        <v>55</v>
      </c>
      <c r="B20" s="76" t="s">
        <v>56</v>
      </c>
      <c r="C20" s="75">
        <v>1</v>
      </c>
      <c r="D20" s="73"/>
      <c r="E20" s="75"/>
      <c r="F20" s="77"/>
      <c r="G20" s="73"/>
      <c r="H20" s="75"/>
      <c r="I20" s="77"/>
    </row>
    <row r="21" spans="1:9" x14ac:dyDescent="0.3">
      <c r="A21" s="75" t="s">
        <v>57</v>
      </c>
      <c r="B21" s="76" t="s">
        <v>58</v>
      </c>
      <c r="C21" s="75">
        <v>2</v>
      </c>
      <c r="D21" s="73"/>
      <c r="E21" s="75" t="s">
        <v>170</v>
      </c>
      <c r="F21" s="77" t="s">
        <v>58</v>
      </c>
      <c r="G21" s="73"/>
      <c r="H21" s="75"/>
      <c r="I21" s="77"/>
    </row>
    <row r="22" spans="1:9" x14ac:dyDescent="0.3">
      <c r="A22" s="75" t="s">
        <v>59</v>
      </c>
      <c r="B22" s="76" t="s">
        <v>60</v>
      </c>
      <c r="C22" s="75">
        <v>2</v>
      </c>
      <c r="D22" s="73"/>
      <c r="E22" s="75" t="s">
        <v>171</v>
      </c>
      <c r="F22" s="77" t="s">
        <v>172</v>
      </c>
      <c r="G22" s="73"/>
      <c r="H22" s="75"/>
      <c r="I22" s="77"/>
    </row>
    <row r="23" spans="1:9" x14ac:dyDescent="0.3">
      <c r="A23" s="75" t="s">
        <v>61</v>
      </c>
      <c r="B23" s="76" t="s">
        <v>62</v>
      </c>
      <c r="C23" s="75">
        <v>2</v>
      </c>
      <c r="D23" s="73"/>
      <c r="E23" s="75" t="s">
        <v>173</v>
      </c>
      <c r="F23" s="77" t="s">
        <v>174</v>
      </c>
      <c r="G23" s="73"/>
      <c r="H23" s="75" t="s">
        <v>243</v>
      </c>
      <c r="I23" s="77" t="s">
        <v>174</v>
      </c>
    </row>
    <row r="24" spans="1:9" x14ac:dyDescent="0.3">
      <c r="A24" s="75" t="s">
        <v>63</v>
      </c>
      <c r="B24" s="76" t="s">
        <v>64</v>
      </c>
      <c r="C24" s="75">
        <v>2</v>
      </c>
      <c r="D24" s="73"/>
      <c r="E24" s="75"/>
      <c r="F24" s="77"/>
      <c r="G24" s="73"/>
      <c r="H24" s="75"/>
      <c r="I24" s="77"/>
    </row>
    <row r="25" spans="1:9" x14ac:dyDescent="0.3">
      <c r="A25" s="75" t="s">
        <v>65</v>
      </c>
      <c r="B25" s="76" t="s">
        <v>66</v>
      </c>
      <c r="C25" s="75">
        <v>2</v>
      </c>
      <c r="D25" s="73"/>
      <c r="E25" s="75"/>
      <c r="F25" s="77"/>
      <c r="G25" s="73"/>
      <c r="H25" s="75"/>
      <c r="I25" s="77"/>
    </row>
    <row r="26" spans="1:9" x14ac:dyDescent="0.3">
      <c r="A26" s="75" t="s">
        <v>67</v>
      </c>
      <c r="B26" s="76" t="s">
        <v>68</v>
      </c>
      <c r="C26" s="75">
        <v>2</v>
      </c>
      <c r="D26" s="73"/>
      <c r="E26" s="75"/>
      <c r="F26" s="77"/>
      <c r="G26" s="73"/>
      <c r="H26" s="75"/>
      <c r="I26" s="77"/>
    </row>
    <row r="27" spans="1:9" x14ac:dyDescent="0.3">
      <c r="A27" s="75" t="s">
        <v>69</v>
      </c>
      <c r="B27" s="76" t="s">
        <v>70</v>
      </c>
      <c r="C27" s="75">
        <v>2</v>
      </c>
      <c r="D27" s="73"/>
      <c r="E27" s="75" t="s">
        <v>175</v>
      </c>
      <c r="F27" s="77" t="s">
        <v>70</v>
      </c>
      <c r="G27" s="73"/>
      <c r="H27" s="75"/>
      <c r="I27" s="77"/>
    </row>
    <row r="28" spans="1:9" x14ac:dyDescent="0.3">
      <c r="A28" s="75" t="s">
        <v>71</v>
      </c>
      <c r="B28" s="76" t="s">
        <v>72</v>
      </c>
      <c r="C28" s="75">
        <v>2</v>
      </c>
      <c r="D28" s="73"/>
      <c r="E28" s="75"/>
      <c r="F28" s="77"/>
      <c r="G28" s="73"/>
      <c r="H28" s="75"/>
      <c r="I28" s="77"/>
    </row>
    <row r="29" spans="1:9" x14ac:dyDescent="0.3">
      <c r="A29" s="75" t="s">
        <v>73</v>
      </c>
      <c r="B29" s="76" t="s">
        <v>74</v>
      </c>
      <c r="C29" s="75">
        <v>1</v>
      </c>
      <c r="D29" s="73"/>
      <c r="E29" s="75"/>
      <c r="F29" s="77"/>
      <c r="G29" s="73"/>
      <c r="H29" s="75"/>
      <c r="I29" s="77"/>
    </row>
    <row r="30" spans="1:9" x14ac:dyDescent="0.3">
      <c r="A30" s="75" t="s">
        <v>75</v>
      </c>
      <c r="B30" s="76" t="s">
        <v>76</v>
      </c>
      <c r="C30" s="75">
        <v>2</v>
      </c>
      <c r="D30" s="73"/>
      <c r="E30" s="75"/>
      <c r="F30" s="77"/>
      <c r="G30" s="73"/>
      <c r="H30" s="75"/>
      <c r="I30" s="77"/>
    </row>
    <row r="31" spans="1:9" x14ac:dyDescent="0.3">
      <c r="A31" s="75" t="s">
        <v>77</v>
      </c>
      <c r="B31" s="76" t="s">
        <v>78</v>
      </c>
      <c r="C31" s="75">
        <v>2</v>
      </c>
      <c r="D31" s="73"/>
      <c r="E31" s="75" t="s">
        <v>176</v>
      </c>
      <c r="F31" s="77" t="s">
        <v>177</v>
      </c>
      <c r="G31" s="73"/>
      <c r="H31" s="75" t="s">
        <v>178</v>
      </c>
      <c r="I31" s="77" t="s">
        <v>177</v>
      </c>
    </row>
    <row r="32" spans="1:9" x14ac:dyDescent="0.3">
      <c r="A32" s="75" t="s">
        <v>79</v>
      </c>
      <c r="B32" s="76" t="s">
        <v>80</v>
      </c>
      <c r="C32" s="75">
        <v>2</v>
      </c>
      <c r="D32" s="73"/>
      <c r="E32" s="75"/>
      <c r="F32" s="77"/>
      <c r="G32" s="73"/>
      <c r="H32" s="75"/>
      <c r="I32" s="77"/>
    </row>
    <row r="33" spans="1:9" x14ac:dyDescent="0.3">
      <c r="A33" s="75" t="s">
        <v>82</v>
      </c>
      <c r="B33" s="76" t="s">
        <v>83</v>
      </c>
      <c r="C33" s="75">
        <v>2</v>
      </c>
      <c r="D33" s="73"/>
      <c r="E33" s="75"/>
      <c r="F33" s="77"/>
      <c r="G33" s="73"/>
      <c r="H33" s="75"/>
      <c r="I33" s="77"/>
    </row>
    <row r="34" spans="1:9" x14ac:dyDescent="0.3">
      <c r="A34" s="75" t="s">
        <v>84</v>
      </c>
      <c r="B34" s="76" t="s">
        <v>85</v>
      </c>
      <c r="C34" s="75">
        <v>2</v>
      </c>
      <c r="D34" s="73"/>
      <c r="E34" s="75"/>
      <c r="F34" s="77"/>
      <c r="G34" s="73"/>
      <c r="H34" s="75"/>
      <c r="I34" s="77"/>
    </row>
    <row r="35" spans="1:9" x14ac:dyDescent="0.3">
      <c r="A35" s="75" t="s">
        <v>86</v>
      </c>
      <c r="B35" s="76" t="s">
        <v>87</v>
      </c>
      <c r="C35" s="75">
        <v>2</v>
      </c>
      <c r="D35" s="73"/>
      <c r="E35" s="75"/>
      <c r="F35" s="77"/>
      <c r="G35" s="73"/>
      <c r="H35" s="75"/>
      <c r="I35" s="77"/>
    </row>
    <row r="36" spans="1:9" x14ac:dyDescent="0.3">
      <c r="A36" s="75" t="s">
        <v>88</v>
      </c>
      <c r="B36" s="76" t="s">
        <v>89</v>
      </c>
      <c r="C36" s="75">
        <v>2</v>
      </c>
      <c r="D36" s="73"/>
      <c r="E36" s="75" t="s">
        <v>179</v>
      </c>
      <c r="F36" s="77" t="s">
        <v>180</v>
      </c>
      <c r="G36" s="73"/>
      <c r="H36" s="75" t="s">
        <v>181</v>
      </c>
      <c r="I36" s="77" t="s">
        <v>180</v>
      </c>
    </row>
    <row r="37" spans="1:9" x14ac:dyDescent="0.3">
      <c r="A37" s="75" t="s">
        <v>90</v>
      </c>
      <c r="B37" s="76" t="s">
        <v>91</v>
      </c>
      <c r="C37" s="75">
        <v>2</v>
      </c>
      <c r="D37" s="73"/>
      <c r="E37" s="75" t="s">
        <v>182</v>
      </c>
      <c r="F37" s="77" t="s">
        <v>91</v>
      </c>
      <c r="G37" s="73"/>
      <c r="H37" s="75"/>
      <c r="I37" s="77"/>
    </row>
    <row r="38" spans="1:9" x14ac:dyDescent="0.3">
      <c r="A38" s="75" t="s">
        <v>92</v>
      </c>
      <c r="B38" s="76" t="s">
        <v>93</v>
      </c>
      <c r="C38" s="75">
        <v>2</v>
      </c>
      <c r="D38" s="73"/>
      <c r="E38" s="75" t="s">
        <v>183</v>
      </c>
      <c r="F38" s="77" t="s">
        <v>184</v>
      </c>
      <c r="G38" s="73"/>
      <c r="H38" s="75" t="s">
        <v>185</v>
      </c>
      <c r="I38" s="77" t="s">
        <v>184</v>
      </c>
    </row>
    <row r="39" spans="1:9" x14ac:dyDescent="0.3">
      <c r="A39" s="75" t="s">
        <v>94</v>
      </c>
      <c r="B39" s="76" t="s">
        <v>95</v>
      </c>
      <c r="C39" s="75">
        <v>1</v>
      </c>
      <c r="D39" s="73"/>
      <c r="E39" s="75"/>
      <c r="F39" s="77"/>
      <c r="G39" s="73"/>
      <c r="H39" s="75"/>
      <c r="I39" s="77"/>
    </row>
    <row r="40" spans="1:9" x14ac:dyDescent="0.3">
      <c r="A40" s="75" t="s">
        <v>96</v>
      </c>
      <c r="B40" s="76" t="s">
        <v>97</v>
      </c>
      <c r="C40" s="75">
        <v>1</v>
      </c>
      <c r="D40" s="73"/>
      <c r="E40" s="75"/>
      <c r="F40" s="77"/>
      <c r="G40" s="73"/>
      <c r="H40" s="75"/>
      <c r="I40" s="77"/>
    </row>
    <row r="41" spans="1:9" x14ac:dyDescent="0.3">
      <c r="A41" s="75" t="s">
        <v>98</v>
      </c>
      <c r="B41" s="76" t="s">
        <v>99</v>
      </c>
      <c r="C41" s="75">
        <v>1</v>
      </c>
      <c r="D41" s="73"/>
      <c r="E41" s="75" t="s">
        <v>186</v>
      </c>
      <c r="F41" s="77" t="s">
        <v>99</v>
      </c>
      <c r="G41" s="73"/>
      <c r="H41" s="75"/>
      <c r="I41" s="77"/>
    </row>
    <row r="42" spans="1:9" x14ac:dyDescent="0.3">
      <c r="A42" s="75" t="s">
        <v>100</v>
      </c>
      <c r="B42" s="76" t="s">
        <v>101</v>
      </c>
      <c r="C42" s="75">
        <v>1</v>
      </c>
      <c r="D42" s="73"/>
      <c r="E42" s="75" t="s">
        <v>187</v>
      </c>
      <c r="F42" s="77" t="s">
        <v>188</v>
      </c>
      <c r="G42" s="73"/>
      <c r="H42" s="75" t="s">
        <v>201</v>
      </c>
      <c r="I42" s="77" t="s">
        <v>202</v>
      </c>
    </row>
    <row r="43" spans="1:9" x14ac:dyDescent="0.3">
      <c r="A43" s="75" t="s">
        <v>103</v>
      </c>
      <c r="B43" s="76" t="s">
        <v>104</v>
      </c>
      <c r="C43" s="75">
        <v>2</v>
      </c>
      <c r="D43" s="73"/>
      <c r="E43" s="75" t="s">
        <v>189</v>
      </c>
      <c r="F43" s="77" t="s">
        <v>104</v>
      </c>
      <c r="G43" s="73"/>
      <c r="H43" s="75"/>
      <c r="I43" s="77"/>
    </row>
    <row r="44" spans="1:9" x14ac:dyDescent="0.3">
      <c r="A44" s="75" t="s">
        <v>105</v>
      </c>
      <c r="B44" s="76" t="s">
        <v>106</v>
      </c>
      <c r="C44" s="75">
        <v>2</v>
      </c>
      <c r="D44" s="73"/>
      <c r="E44" s="75" t="s">
        <v>190</v>
      </c>
      <c r="F44" s="77" t="s">
        <v>191</v>
      </c>
      <c r="G44" s="73"/>
      <c r="H44" s="75" t="s">
        <v>192</v>
      </c>
      <c r="I44" s="77" t="s">
        <v>193</v>
      </c>
    </row>
    <row r="45" spans="1:9" x14ac:dyDescent="0.3">
      <c r="A45" s="75" t="s">
        <v>107</v>
      </c>
      <c r="B45" s="76" t="s">
        <v>108</v>
      </c>
      <c r="C45" s="75">
        <v>1</v>
      </c>
      <c r="D45" s="73"/>
      <c r="E45" s="75"/>
      <c r="F45" s="77"/>
      <c r="G45" s="73"/>
      <c r="H45" s="75"/>
      <c r="I45" s="77"/>
    </row>
    <row r="46" spans="1:9" x14ac:dyDescent="0.3">
      <c r="A46" s="75" t="s">
        <v>109</v>
      </c>
      <c r="B46" s="76" t="s">
        <v>110</v>
      </c>
      <c r="C46" s="75">
        <v>1</v>
      </c>
      <c r="D46" s="73"/>
      <c r="E46" s="75" t="s">
        <v>194</v>
      </c>
      <c r="F46" s="77" t="s">
        <v>195</v>
      </c>
      <c r="G46" s="73"/>
      <c r="H46" s="75"/>
      <c r="I46" s="77"/>
    </row>
    <row r="47" spans="1:9" x14ac:dyDescent="0.3">
      <c r="A47" s="75" t="s">
        <v>111</v>
      </c>
      <c r="B47" s="76" t="s">
        <v>112</v>
      </c>
      <c r="C47" s="75">
        <v>1</v>
      </c>
      <c r="D47" s="73"/>
      <c r="E47" s="75"/>
      <c r="F47" s="77"/>
      <c r="G47" s="73"/>
      <c r="H47" s="75"/>
      <c r="I47" s="77"/>
    </row>
    <row r="48" spans="1:9" x14ac:dyDescent="0.3">
      <c r="A48" s="75" t="s">
        <v>113</v>
      </c>
      <c r="B48" s="76" t="s">
        <v>114</v>
      </c>
      <c r="C48" s="75">
        <v>2</v>
      </c>
      <c r="D48" s="73"/>
      <c r="E48" s="75"/>
      <c r="F48" s="77"/>
      <c r="G48" s="73"/>
      <c r="H48" s="75"/>
      <c r="I48" s="77"/>
    </row>
    <row r="49" spans="1:9" x14ac:dyDescent="0.3">
      <c r="A49" s="75" t="s">
        <v>115</v>
      </c>
      <c r="B49" s="76" t="s">
        <v>116</v>
      </c>
      <c r="C49" s="75">
        <v>2</v>
      </c>
      <c r="D49" s="73"/>
      <c r="E49" s="75"/>
      <c r="F49" s="77"/>
      <c r="G49" s="73"/>
      <c r="H49" s="75"/>
      <c r="I49" s="77"/>
    </row>
    <row r="50" spans="1:9" x14ac:dyDescent="0.3">
      <c r="A50" s="75" t="s">
        <v>117</v>
      </c>
      <c r="B50" s="76" t="s">
        <v>118</v>
      </c>
      <c r="C50" s="75">
        <v>2</v>
      </c>
      <c r="D50" s="73"/>
      <c r="E50" s="75"/>
      <c r="F50" s="77"/>
      <c r="G50" s="73"/>
      <c r="H50" s="75"/>
      <c r="I50" s="77"/>
    </row>
    <row r="51" spans="1:9" x14ac:dyDescent="0.3">
      <c r="A51" s="75" t="s">
        <v>119</v>
      </c>
      <c r="B51" s="76" t="s">
        <v>120</v>
      </c>
      <c r="C51" s="75">
        <v>2</v>
      </c>
      <c r="D51" s="73"/>
      <c r="E51" s="75"/>
      <c r="F51" s="77"/>
      <c r="G51" s="73"/>
      <c r="H51" s="75"/>
      <c r="I51" s="77"/>
    </row>
    <row r="52" spans="1:9" x14ac:dyDescent="0.3">
      <c r="A52" s="75" t="s">
        <v>121</v>
      </c>
      <c r="B52" s="76" t="s">
        <v>122</v>
      </c>
      <c r="C52" s="75">
        <v>2</v>
      </c>
      <c r="D52" s="73"/>
      <c r="E52" s="75"/>
      <c r="F52" s="77"/>
      <c r="G52" s="73"/>
      <c r="H52" s="75"/>
      <c r="I52" s="77"/>
    </row>
    <row r="53" spans="1:9" x14ac:dyDescent="0.3">
      <c r="A53" s="75" t="s">
        <v>123</v>
      </c>
      <c r="B53" s="76" t="s">
        <v>124</v>
      </c>
      <c r="C53" s="75">
        <v>2</v>
      </c>
      <c r="D53" s="73"/>
      <c r="E53" s="75"/>
      <c r="F53" s="77"/>
      <c r="G53" s="73"/>
      <c r="H53" s="75"/>
      <c r="I53" s="77"/>
    </row>
    <row r="54" spans="1:9" x14ac:dyDescent="0.3">
      <c r="A54" s="75" t="s">
        <v>125</v>
      </c>
      <c r="B54" s="76" t="s">
        <v>126</v>
      </c>
      <c r="C54" s="75">
        <v>1</v>
      </c>
      <c r="D54" s="73"/>
      <c r="E54" s="75" t="s">
        <v>196</v>
      </c>
      <c r="F54" s="77" t="s">
        <v>197</v>
      </c>
      <c r="G54" s="73"/>
      <c r="H54" s="75"/>
      <c r="I54" s="77"/>
    </row>
    <row r="55" spans="1:9" x14ac:dyDescent="0.3">
      <c r="A55" s="75" t="s">
        <v>199</v>
      </c>
      <c r="B55" s="76" t="s">
        <v>128</v>
      </c>
      <c r="C55" s="75">
        <v>2</v>
      </c>
      <c r="D55" s="73"/>
      <c r="E55" s="75" t="s">
        <v>198</v>
      </c>
      <c r="F55" s="77" t="s">
        <v>128</v>
      </c>
      <c r="G55" s="73"/>
      <c r="H55" s="75" t="s">
        <v>127</v>
      </c>
      <c r="I55" s="77" t="s">
        <v>128</v>
      </c>
    </row>
    <row r="56" spans="1:9" x14ac:dyDescent="0.3">
      <c r="A56" s="75" t="s">
        <v>130</v>
      </c>
      <c r="B56" s="76" t="s">
        <v>131</v>
      </c>
      <c r="C56" s="75">
        <v>1</v>
      </c>
      <c r="D56" s="73"/>
      <c r="E56" s="75"/>
      <c r="F56" s="77"/>
      <c r="G56" s="73"/>
      <c r="H56" s="75"/>
      <c r="I56" s="77"/>
    </row>
    <row r="57" spans="1:9" x14ac:dyDescent="0.3">
      <c r="A57" s="75" t="s">
        <v>132</v>
      </c>
      <c r="B57" s="76" t="s">
        <v>133</v>
      </c>
      <c r="C57" s="75">
        <v>1</v>
      </c>
      <c r="D57" s="73"/>
      <c r="E57" s="75"/>
      <c r="F57" s="77"/>
      <c r="G57" s="73"/>
      <c r="H57" s="75"/>
      <c r="I57" s="77"/>
    </row>
    <row r="58" spans="1:9" x14ac:dyDescent="0.3">
      <c r="A58" s="75" t="s">
        <v>134</v>
      </c>
      <c r="B58" s="76" t="s">
        <v>135</v>
      </c>
      <c r="C58" s="75">
        <v>1</v>
      </c>
      <c r="D58" s="73"/>
      <c r="E58" s="75"/>
      <c r="F58" s="77"/>
      <c r="G58" s="73"/>
      <c r="H58" s="75"/>
      <c r="I58" s="77"/>
    </row>
    <row r="59" spans="1:9" ht="15" thickBot="1" x14ac:dyDescent="0.35">
      <c r="A59" s="78" t="s">
        <v>136</v>
      </c>
      <c r="B59" s="79" t="s">
        <v>137</v>
      </c>
      <c r="C59" s="78">
        <v>2</v>
      </c>
      <c r="D59" s="73"/>
      <c r="E59" s="78"/>
      <c r="F59" s="80"/>
      <c r="G59" s="73"/>
      <c r="H59" s="78"/>
      <c r="I59" s="80"/>
    </row>
  </sheetData>
  <sheetProtection selectLockedCells="1"/>
  <protectedRanges>
    <protectedRange sqref="D2:D59 G17:G59 G10:G15 G6:G7 G2" name="Rango1"/>
    <protectedRange sqref="G3:G5" name="Rango1_12"/>
    <protectedRange sqref="G8:G9" name="Rango1_13"/>
    <protectedRange sqref="G16" name="Rango1_14"/>
  </protectedRanges>
  <autoFilter ref="A1:I59" xr:uid="{00000000-0009-0000-0000-000003000000}"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Balance</vt:lpstr>
      <vt:lpstr>Notas</vt:lpstr>
      <vt:lpstr>Optativas</vt:lpstr>
      <vt:lpstr>Equivalencia</vt:lpstr>
      <vt:lpstr>Balance!Área_de_impresión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JEFE ESTADISTICA ENAP - BEYTY CAMARGO</dc:creator>
  <cp:keywords/>
  <dc:description/>
  <cp:lastModifiedBy>BEYTY CAMARGO MARTINEZ</cp:lastModifiedBy>
  <cp:revision/>
  <cp:lastPrinted>2025-10-06T22:58:07Z</cp:lastPrinted>
  <dcterms:created xsi:type="dcterms:W3CDTF">2024-08-29T16:28:19Z</dcterms:created>
  <dcterms:modified xsi:type="dcterms:W3CDTF">2026-04-30T14:58:28Z</dcterms:modified>
  <cp:category/>
  <cp:contentStatus/>
</cp:coreProperties>
</file>