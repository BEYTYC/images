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scuelanaval-my.sharepoint.com/personal/jestadisticaplen_enap_edu_co/Documents/Estadística/Bases de Datos/B.D Grados - Balances Académicos/PLANTILLAS BALANCES/"/>
    </mc:Choice>
  </mc:AlternateContent>
  <xr:revisionPtr revIDLastSave="0" documentId="8_{429DC540-1A8A-44EF-BA4D-8387712C57A5}" xr6:coauthVersionLast="47" xr6:coauthVersionMax="47" xr10:uidLastSave="{00000000-0000-0000-0000-000000000000}"/>
  <bookViews>
    <workbookView xWindow="-108" yWindow="-108" windowWidth="23256" windowHeight="12456" xr2:uid="{3BAEE75D-FCA2-46A6-A885-A89F84034329}"/>
  </bookViews>
  <sheets>
    <sheet name="Balance" sheetId="1" r:id="rId1"/>
    <sheet name="Notas" sheetId="2" r:id="rId2"/>
    <sheet name="Optativas" sheetId="7" r:id="rId3"/>
    <sheet name="Equivalencia" sheetId="8" r:id="rId4"/>
  </sheets>
  <definedNames>
    <definedName name="_xlnm._FilterDatabase" localSheetId="0" hidden="1">Balance!$C$11:$L$26</definedName>
    <definedName name="_xlnm._FilterDatabase" localSheetId="3" hidden="1">Equivalencia!$A$1:$I$125</definedName>
    <definedName name="_xlnm.Print_Area" localSheetId="0">Balance!$C$3:$L$40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7" l="1"/>
  <c r="H5" i="7"/>
  <c r="H6" i="7"/>
  <c r="H7" i="7"/>
  <c r="H8" i="7"/>
  <c r="H9" i="7"/>
  <c r="H10" i="7"/>
  <c r="H11" i="7"/>
  <c r="H12" i="7"/>
  <c r="H13" i="7"/>
  <c r="F8" i="1"/>
  <c r="L9" i="1" l="1"/>
  <c r="H15" i="1" l="1"/>
  <c r="H25" i="1"/>
  <c r="H21" i="1"/>
  <c r="G13" i="1"/>
  <c r="H13" i="1" s="1"/>
  <c r="G16" i="1"/>
  <c r="H16" i="1" s="1"/>
  <c r="G15" i="1"/>
  <c r="G17" i="1"/>
  <c r="H17" i="1" s="1"/>
  <c r="G18" i="1"/>
  <c r="H18" i="1" s="1"/>
  <c r="G19" i="1"/>
  <c r="H19" i="1" s="1"/>
  <c r="G20" i="1"/>
  <c r="H20" i="1" s="1"/>
  <c r="G21" i="1"/>
  <c r="G22" i="1"/>
  <c r="H22" i="1" s="1"/>
  <c r="G23" i="1"/>
  <c r="H23" i="1" s="1"/>
  <c r="G24" i="1"/>
  <c r="H24" i="1" s="1"/>
  <c r="G25" i="1"/>
  <c r="G26" i="1"/>
  <c r="H26" i="1" s="1"/>
  <c r="G12" i="1"/>
  <c r="H12" i="1" s="1"/>
  <c r="G14" i="1"/>
  <c r="H14" i="1" s="1"/>
  <c r="C5" i="7"/>
  <c r="C6" i="7"/>
  <c r="C7" i="7"/>
  <c r="C8" i="7"/>
  <c r="C9" i="7"/>
  <c r="C10" i="7"/>
  <c r="C11" i="7"/>
  <c r="C12" i="7"/>
  <c r="C13" i="7"/>
  <c r="C4" i="7"/>
  <c r="K21" i="1" l="1"/>
  <c r="L21" i="1"/>
  <c r="L23" i="1" l="1"/>
  <c r="L26" i="1"/>
  <c r="L24" i="1"/>
  <c r="L15" i="1"/>
  <c r="L20" i="1"/>
  <c r="L22" i="1"/>
  <c r="L25" i="1"/>
  <c r="L13" i="1"/>
  <c r="K16" i="1"/>
  <c r="L16" i="1"/>
  <c r="L18" i="1"/>
  <c r="L17" i="1"/>
  <c r="L14" i="1"/>
  <c r="L19" i="1"/>
  <c r="L12" i="1"/>
  <c r="K17" i="1"/>
  <c r="K18" i="1"/>
  <c r="L8" i="1"/>
  <c r="K12" i="1" l="1"/>
  <c r="K14" i="1" l="1"/>
  <c r="K23" i="1" l="1"/>
  <c r="K19" i="1"/>
  <c r="K25" i="1" l="1"/>
  <c r="K15" i="1" l="1"/>
  <c r="K13" i="1" l="1"/>
  <c r="K20" i="1"/>
  <c r="K26" i="1"/>
  <c r="K22" i="1" l="1"/>
  <c r="K24" i="1" l="1"/>
  <c r="J28" i="1" l="1"/>
  <c r="J29" i="1" l="1"/>
</calcChain>
</file>

<file path=xl/sharedStrings.xml><?xml version="1.0" encoding="utf-8"?>
<sst xmlns="http://schemas.openxmlformats.org/spreadsheetml/2006/main" count="99" uniqueCount="61">
  <si>
    <t xml:space="preserve"> </t>
  </si>
  <si>
    <t>BALANCE ACADÉMICO</t>
  </si>
  <si>
    <r>
      <rPr>
        <b/>
        <sz val="9"/>
        <color theme="1"/>
        <rFont val="Aptos Display"/>
        <family val="2"/>
        <scheme val="major"/>
      </rPr>
      <t>Autoridad:</t>
    </r>
    <r>
      <rPr>
        <sz val="9"/>
        <color theme="1"/>
        <rFont val="Aptos Display"/>
        <family val="2"/>
        <scheme val="major"/>
      </rPr>
      <t xml:space="preserve"> JINEN</t>
    </r>
  </si>
  <si>
    <r>
      <rPr>
        <b/>
        <sz val="8"/>
        <color theme="1"/>
        <rFont val="Aptos Display"/>
        <family val="2"/>
        <scheme val="major"/>
      </rPr>
      <t xml:space="preserve">Proceso: </t>
    </r>
    <r>
      <rPr>
        <sz val="8"/>
        <color theme="1"/>
        <rFont val="Aptos Display"/>
        <family val="2"/>
        <scheme val="major"/>
      </rPr>
      <t>Educación</t>
    </r>
  </si>
  <si>
    <r>
      <t xml:space="preserve">Página 
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de 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</t>
    </r>
  </si>
  <si>
    <r>
      <rPr>
        <b/>
        <sz val="8"/>
        <color theme="1"/>
        <rFont val="Aptos Display"/>
        <family val="2"/>
        <scheme val="major"/>
      </rPr>
      <t xml:space="preserve">Código: </t>
    </r>
    <r>
      <rPr>
        <sz val="8"/>
        <color theme="1"/>
        <rFont val="Aptos Display"/>
        <family val="2"/>
        <scheme val="major"/>
      </rPr>
      <t>EDUCA-FT-009-JINEN-V05</t>
    </r>
  </si>
  <si>
    <t>NOMBRES Y APELLIDOS:</t>
  </si>
  <si>
    <t>Fecha elaboración:</t>
  </si>
  <si>
    <t>PROGRAMA ACADÉMICO:</t>
  </si>
  <si>
    <t>Periodo de terminación:</t>
  </si>
  <si>
    <t>COD.</t>
  </si>
  <si>
    <t>PÉNSUM CURSADO</t>
  </si>
  <si>
    <t>CRÉDITOS</t>
  </si>
  <si>
    <t>NOTA</t>
  </si>
  <si>
    <t>HAB.</t>
  </si>
  <si>
    <t>TOTAL CRÉDITOS APROBADOS</t>
  </si>
  <si>
    <t>PROMEDIO PONDERADO ACUMULADO</t>
  </si>
  <si>
    <r>
      <rPr>
        <b/>
        <sz val="8"/>
        <color theme="1"/>
        <rFont val="Aptos Display"/>
        <family val="2"/>
        <scheme val="major"/>
      </rPr>
      <t>OBSERVACIONES:</t>
    </r>
    <r>
      <rPr>
        <sz val="8"/>
        <color theme="1"/>
        <rFont val="Aptos Display"/>
        <family val="2"/>
        <scheme val="major"/>
      </rPr>
      <t xml:space="preserve"> </t>
    </r>
  </si>
  <si>
    <t>CÓD</t>
  </si>
  <si>
    <t>ASIGNATURA</t>
  </si>
  <si>
    <t>CRÉD</t>
  </si>
  <si>
    <t>CÓDIGO</t>
  </si>
  <si>
    <r>
      <rPr>
        <b/>
        <sz val="8"/>
        <color theme="1"/>
        <rFont val="Aptos Display"/>
        <family val="2"/>
        <scheme val="major"/>
      </rPr>
      <t>Rige a partir de</t>
    </r>
    <r>
      <rPr>
        <sz val="8"/>
        <color theme="1"/>
        <rFont val="Aptos Display"/>
        <family val="2"/>
        <scheme val="major"/>
      </rPr>
      <t xml:space="preserve">: 
09/05/2022 </t>
    </r>
  </si>
  <si>
    <t>IM</t>
  </si>
  <si>
    <t>PÉNSUM VIGENTE</t>
  </si>
  <si>
    <t>Jefe de Programa</t>
  </si>
  <si>
    <t>Decano de Facultad</t>
  </si>
  <si>
    <t>ESPECIALIZACIÓN EN GESTIÓN LOGÍSTICA</t>
  </si>
  <si>
    <t>GL004</t>
  </si>
  <si>
    <t>GL016</t>
  </si>
  <si>
    <t>GL700</t>
  </si>
  <si>
    <t>GL701</t>
  </si>
  <si>
    <t>GL704</t>
  </si>
  <si>
    <t>GL733</t>
  </si>
  <si>
    <t>GL735</t>
  </si>
  <si>
    <t>GL752</t>
  </si>
  <si>
    <t>GL017</t>
  </si>
  <si>
    <t>GL018</t>
  </si>
  <si>
    <t>GL727</t>
  </si>
  <si>
    <t>GL019</t>
  </si>
  <si>
    <t>GL726</t>
  </si>
  <si>
    <t>GL014</t>
  </si>
  <si>
    <t>GL005</t>
  </si>
  <si>
    <t>ELECTIVA I</t>
  </si>
  <si>
    <t>GESTIÓN DE REDES DE VALOR Y LOGÍSTICA</t>
  </si>
  <si>
    <t>GESTION DEL MARKETING EN LA SCM</t>
  </si>
  <si>
    <t>LOGISTICA DE ALTO NIVEL</t>
  </si>
  <si>
    <t>LOGISTICA INVERSA</t>
  </si>
  <si>
    <t>ETICA Y RESPONSABILIDAD SOCIAL EMPRESARIAL</t>
  </si>
  <si>
    <t>LOGISTICA MARÍTIMA Y PORTUARIA</t>
  </si>
  <si>
    <t>LOGISTICA DE APROVISIONAMIENTO</t>
  </si>
  <si>
    <t>LOGISTICA DE PRODUCCION</t>
  </si>
  <si>
    <t>LOGISTICA DE DISTRIBUCION</t>
  </si>
  <si>
    <t>SEMINARIO DE INVESTIGACIÓN I</t>
  </si>
  <si>
    <t>ELECTIVA II</t>
  </si>
  <si>
    <t>SEMESTRE 1</t>
  </si>
  <si>
    <t>SEMESTRE 2</t>
  </si>
  <si>
    <t>FUNDAMENTOS EN GESTIÓN LOGISTICA</t>
  </si>
  <si>
    <t>TECNOLOGIAS E INNOVACIÓN EN SISTEMAS LOGÍSTICOS</t>
  </si>
  <si>
    <t>LOGÍSTICA VERDE Y DESARROLLO</t>
  </si>
  <si>
    <t>s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</si>
</sst>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164" formatCode="0.000"/>
    <numFmt numFmtId="165" formatCode="&quot;$&quot;\ #,##0.00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sz val="14"/>
      <color theme="1"/>
      <name val="Aptos Display"/>
      <family val="2"/>
      <scheme val="major"/>
    </font>
    <font>
      <b/>
      <sz val="9"/>
      <color theme="1"/>
      <name val="Aptos Display"/>
      <family val="2"/>
      <scheme val="major"/>
    </font>
    <font>
      <sz val="8"/>
      <color theme="1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sz val="8"/>
      <name val="Aptos Display"/>
      <family val="2"/>
      <scheme val="major"/>
    </font>
    <font>
      <sz val="7"/>
      <name val="Aptos Display"/>
      <family val="2"/>
      <scheme val="major"/>
    </font>
    <font>
      <b/>
      <sz val="7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0"/>
      <color theme="1"/>
      <name val="Aptos Display"/>
      <family val="2"/>
      <scheme val="major"/>
    </font>
    <font>
      <b/>
      <sz val="8.5"/>
      <color theme="1"/>
      <name val="Aptos Display"/>
      <family val="2"/>
      <scheme val="major"/>
    </font>
    <font>
      <sz val="8.5"/>
      <color theme="1"/>
      <name val="Aptos Display"/>
      <family val="2"/>
      <scheme val="major"/>
    </font>
    <font>
      <b/>
      <sz val="8"/>
      <name val="Aptos Display"/>
      <family val="2"/>
      <scheme val="major"/>
    </font>
    <font>
      <u/>
      <sz val="8"/>
      <name val="Aptos Display"/>
      <family val="2"/>
      <scheme val="major"/>
    </font>
    <font>
      <u/>
      <sz val="9"/>
      <color theme="1"/>
      <name val="Aptos Display"/>
      <family val="2"/>
      <scheme val="major"/>
    </font>
    <font>
      <u/>
      <sz val="7"/>
      <name val="Aptos Display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rgb="FFE2EE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AE9F8"/>
        <bgColor indexed="64"/>
      </patternFill>
    </fill>
  </fills>
  <borders count="6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/>
      <right/>
      <top style="thin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/>
      <bottom/>
      <diagonal/>
    </border>
    <border>
      <left/>
      <right style="thin">
        <color theme="3" tint="0.749992370372631"/>
      </right>
      <top style="thin">
        <color theme="3" tint="0.74999237037263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theme="3" tint="0.749992370372631"/>
      </left>
      <right/>
      <top/>
      <bottom style="thin">
        <color theme="3" tint="0.749992370372631"/>
      </bottom>
      <diagonal/>
    </border>
    <border>
      <left/>
      <right/>
      <top/>
      <bottom style="thin">
        <color theme="3" tint="0.749992370372631"/>
      </bottom>
      <diagonal/>
    </border>
    <border>
      <left/>
      <right style="thin">
        <color theme="3" tint="0.749992370372631"/>
      </right>
      <top/>
      <bottom style="thin">
        <color theme="3" tint="0.74999237037263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4.9989318521683403E-2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80">
    <xf numFmtId="0" fontId="0" fillId="0" borderId="0" xfId="0"/>
    <xf numFmtId="3" fontId="0" fillId="0" borderId="0" xfId="0" applyNumberForma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 textRotation="90"/>
    </xf>
    <xf numFmtId="0" fontId="3" fillId="0" borderId="3" xfId="0" applyFont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10" fillId="2" borderId="31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1" fontId="10" fillId="2" borderId="24" xfId="0" applyNumberFormat="1" applyFont="1" applyFill="1" applyBorder="1" applyAlignment="1">
      <alignment horizontal="center" vertical="center"/>
    </xf>
    <xf numFmtId="0" fontId="9" fillId="0" borderId="30" xfId="0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3" fillId="0" borderId="33" xfId="0" applyFont="1" applyBorder="1" applyAlignment="1">
      <alignment horizontal="center" vertical="center" textRotation="90"/>
    </xf>
    <xf numFmtId="0" fontId="9" fillId="0" borderId="33" xfId="0" applyFont="1" applyBorder="1" applyAlignment="1">
      <alignment horizontal="center" vertical="center"/>
    </xf>
    <xf numFmtId="0" fontId="9" fillId="0" borderId="33" xfId="0" applyFont="1" applyBorder="1" applyAlignment="1">
      <alignment horizontal="left" vertical="center"/>
    </xf>
    <xf numFmtId="1" fontId="9" fillId="0" borderId="33" xfId="0" applyNumberFormat="1" applyFont="1" applyBorder="1" applyAlignment="1">
      <alignment horizontal="center" vertical="center"/>
    </xf>
    <xf numFmtId="0" fontId="11" fillId="0" borderId="38" xfId="2" applyFont="1" applyBorder="1" applyAlignment="1">
      <alignment horizontal="center" vertical="center"/>
    </xf>
    <xf numFmtId="1" fontId="11" fillId="0" borderId="34" xfId="2" applyNumberFormat="1" applyFont="1" applyBorder="1" applyAlignment="1">
      <alignment horizontal="center" vertical="center"/>
    </xf>
    <xf numFmtId="164" fontId="11" fillId="0" borderId="34" xfId="2" applyNumberFormat="1" applyFont="1" applyBorder="1" applyAlignment="1">
      <alignment horizontal="center" vertical="center"/>
    </xf>
    <xf numFmtId="164" fontId="9" fillId="0" borderId="34" xfId="0" applyNumberFormat="1" applyFont="1" applyBorder="1" applyAlignment="1">
      <alignment horizontal="center" vertical="center"/>
    </xf>
    <xf numFmtId="0" fontId="11" fillId="0" borderId="41" xfId="2" applyFont="1" applyBorder="1" applyAlignment="1">
      <alignment horizontal="center" vertical="center"/>
    </xf>
    <xf numFmtId="1" fontId="11" fillId="0" borderId="40" xfId="2" applyNumberFormat="1" applyFont="1" applyBorder="1" applyAlignment="1">
      <alignment horizontal="center" vertical="center"/>
    </xf>
    <xf numFmtId="164" fontId="11" fillId="0" borderId="40" xfId="2" applyNumberFormat="1" applyFont="1" applyBorder="1" applyAlignment="1">
      <alignment horizontal="center" vertical="center"/>
    </xf>
    <xf numFmtId="164" fontId="9" fillId="0" borderId="40" xfId="0" applyNumberFormat="1" applyFont="1" applyBorder="1" applyAlignment="1">
      <alignment horizontal="center" vertical="center"/>
    </xf>
    <xf numFmtId="14" fontId="9" fillId="0" borderId="45" xfId="0" applyNumberFormat="1" applyFont="1" applyBorder="1" applyAlignment="1">
      <alignment horizontal="left" vertical="center"/>
    </xf>
    <xf numFmtId="1" fontId="5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3" fillId="0" borderId="6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 textRotation="90"/>
    </xf>
    <xf numFmtId="0" fontId="6" fillId="5" borderId="0" xfId="0" applyFont="1" applyFill="1" applyAlignment="1">
      <alignment horizontal="left" vertical="center"/>
    </xf>
    <xf numFmtId="1" fontId="6" fillId="5" borderId="0" xfId="0" applyNumberFormat="1" applyFont="1" applyFill="1" applyAlignment="1">
      <alignment horizontal="center" vertical="center"/>
    </xf>
    <xf numFmtId="0" fontId="13" fillId="0" borderId="53" xfId="0" applyFont="1" applyBorder="1" applyAlignment="1">
      <alignment horizontal="center" vertical="center" textRotation="90"/>
    </xf>
    <xf numFmtId="0" fontId="6" fillId="0" borderId="53" xfId="0" applyFont="1" applyBorder="1" applyAlignment="1">
      <alignment horizontal="center" vertical="center"/>
    </xf>
    <xf numFmtId="0" fontId="6" fillId="0" borderId="53" xfId="0" applyFont="1" applyBorder="1" applyAlignment="1">
      <alignment horizontal="left" vertical="center"/>
    </xf>
    <xf numFmtId="1" fontId="6" fillId="0" borderId="53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13" fillId="0" borderId="59" xfId="0" applyFont="1" applyBorder="1" applyAlignment="1">
      <alignment horizontal="center" vertical="center" textRotation="90"/>
    </xf>
    <xf numFmtId="0" fontId="6" fillId="0" borderId="59" xfId="0" applyFont="1" applyBorder="1" applyAlignment="1">
      <alignment horizontal="center" vertical="center"/>
    </xf>
    <xf numFmtId="0" fontId="6" fillId="0" borderId="59" xfId="0" applyFont="1" applyBorder="1" applyAlignment="1">
      <alignment horizontal="left" vertical="center"/>
    </xf>
    <xf numFmtId="1" fontId="6" fillId="0" borderId="59" xfId="0" applyNumberFormat="1" applyFont="1" applyBorder="1" applyAlignment="1">
      <alignment horizontal="center" vertical="center"/>
    </xf>
    <xf numFmtId="0" fontId="6" fillId="0" borderId="60" xfId="0" applyFont="1" applyBorder="1" applyAlignment="1">
      <alignment horizontal="center" vertical="center"/>
    </xf>
    <xf numFmtId="15" fontId="12" fillId="0" borderId="0" xfId="0" applyNumberFormat="1" applyFont="1" applyAlignment="1">
      <alignment horizontal="left" vertical="top" indent="1"/>
    </xf>
    <xf numFmtId="0" fontId="6" fillId="6" borderId="0" xfId="0" applyFont="1" applyFill="1" applyAlignment="1">
      <alignment horizontal="center" vertical="center"/>
    </xf>
    <xf numFmtId="0" fontId="9" fillId="0" borderId="25" xfId="0" applyFont="1" applyBorder="1" applyAlignment="1">
      <alignment horizontal="left" vertical="center" indent="1"/>
    </xf>
    <xf numFmtId="0" fontId="9" fillId="0" borderId="1" xfId="0" applyFont="1" applyBorder="1" applyAlignment="1">
      <alignment horizontal="left" vertical="center" indent="1"/>
    </xf>
    <xf numFmtId="0" fontId="9" fillId="0" borderId="26" xfId="0" applyFont="1" applyBorder="1" applyAlignment="1">
      <alignment horizontal="left" vertical="center" indent="1"/>
    </xf>
    <xf numFmtId="0" fontId="11" fillId="0" borderId="41" xfId="1" applyNumberFormat="1" applyFont="1" applyBorder="1" applyAlignment="1">
      <alignment vertical="center"/>
    </xf>
    <xf numFmtId="0" fontId="11" fillId="0" borderId="48" xfId="1" applyNumberFormat="1" applyFont="1" applyBorder="1" applyAlignment="1">
      <alignment vertical="center"/>
    </xf>
    <xf numFmtId="0" fontId="11" fillId="0" borderId="38" xfId="1" applyNumberFormat="1" applyFont="1" applyBorder="1" applyAlignment="1">
      <alignment vertical="center"/>
    </xf>
    <xf numFmtId="0" fontId="11" fillId="0" borderId="45" xfId="1" applyNumberFormat="1" applyFont="1" applyBorder="1" applyAlignment="1">
      <alignment vertical="center"/>
    </xf>
    <xf numFmtId="0" fontId="3" fillId="3" borderId="3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11" fillId="0" borderId="35" xfId="2" applyFont="1" applyBorder="1" applyAlignment="1">
      <alignment horizontal="center" vertical="center"/>
    </xf>
    <xf numFmtId="0" fontId="11" fillId="0" borderId="35" xfId="1" applyNumberFormat="1" applyFont="1" applyBorder="1" applyAlignment="1">
      <alignment vertical="center"/>
    </xf>
    <xf numFmtId="0" fontId="11" fillId="0" borderId="37" xfId="1" applyNumberFormat="1" applyFont="1" applyBorder="1" applyAlignment="1">
      <alignment vertical="center"/>
    </xf>
    <xf numFmtId="1" fontId="11" fillId="0" borderId="62" xfId="2" applyNumberFormat="1" applyFont="1" applyBorder="1" applyAlignment="1">
      <alignment horizontal="center" vertical="center"/>
    </xf>
    <xf numFmtId="164" fontId="11" fillId="0" borderId="62" xfId="2" applyNumberFormat="1" applyFont="1" applyBorder="1" applyAlignment="1">
      <alignment horizontal="center" vertical="center"/>
    </xf>
    <xf numFmtId="164" fontId="9" fillId="0" borderId="62" xfId="0" applyNumberFormat="1" applyFont="1" applyBorder="1" applyAlignment="1">
      <alignment horizontal="center" vertical="center"/>
    </xf>
    <xf numFmtId="0" fontId="11" fillId="0" borderId="43" xfId="1" applyNumberFormat="1" applyFont="1" applyBorder="1" applyAlignment="1">
      <alignment vertical="center"/>
    </xf>
    <xf numFmtId="0" fontId="11" fillId="0" borderId="49" xfId="1" applyNumberFormat="1" applyFont="1" applyBorder="1" applyAlignment="1">
      <alignment vertical="center"/>
    </xf>
    <xf numFmtId="0" fontId="11" fillId="0" borderId="43" xfId="2" applyFont="1" applyBorder="1" applyAlignment="1">
      <alignment horizontal="center" vertical="center"/>
    </xf>
    <xf numFmtId="1" fontId="11" fillId="0" borderId="42" xfId="2" applyNumberFormat="1" applyFont="1" applyBorder="1" applyAlignment="1">
      <alignment horizontal="center" vertical="center"/>
    </xf>
    <xf numFmtId="164" fontId="11" fillId="0" borderId="42" xfId="2" applyNumberFormat="1" applyFont="1" applyBorder="1" applyAlignment="1">
      <alignment horizontal="center" vertical="center"/>
    </xf>
    <xf numFmtId="164" fontId="9" fillId="0" borderId="42" xfId="0" applyNumberFormat="1" applyFont="1" applyBorder="1" applyAlignment="1">
      <alignment horizontal="center" vertical="center"/>
    </xf>
    <xf numFmtId="165" fontId="6" fillId="5" borderId="0" xfId="0" applyNumberFormat="1" applyFont="1" applyFill="1" applyAlignment="1">
      <alignment horizontal="center" vertical="center"/>
    </xf>
    <xf numFmtId="165" fontId="6" fillId="0" borderId="53" xfId="0" applyNumberFormat="1" applyFont="1" applyBorder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165" fontId="9" fillId="0" borderId="33" xfId="0" applyNumberFormat="1" applyFont="1" applyBorder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9" fillId="0" borderId="1" xfId="0" applyNumberFormat="1" applyFont="1" applyBorder="1" applyAlignment="1">
      <alignment horizontal="left" vertical="center" indent="1"/>
    </xf>
    <xf numFmtId="165" fontId="12" fillId="0" borderId="0" xfId="0" applyNumberFormat="1" applyFont="1" applyAlignment="1">
      <alignment horizontal="left" vertical="top" indent="1"/>
    </xf>
    <xf numFmtId="165" fontId="6" fillId="0" borderId="0" xfId="0" applyNumberFormat="1" applyFont="1" applyAlignment="1">
      <alignment vertical="center"/>
    </xf>
    <xf numFmtId="165" fontId="6" fillId="0" borderId="59" xfId="0" applyNumberFormat="1" applyFont="1" applyBorder="1" applyAlignment="1">
      <alignment horizontal="center" vertical="center"/>
    </xf>
    <xf numFmtId="44" fontId="11" fillId="0" borderId="45" xfId="1" applyFont="1" applyBorder="1" applyAlignment="1">
      <alignment horizontal="center" vertical="center"/>
    </xf>
    <xf numFmtId="44" fontId="11" fillId="0" borderId="48" xfId="1" applyFont="1" applyBorder="1" applyAlignment="1">
      <alignment horizontal="center" vertical="center"/>
    </xf>
    <xf numFmtId="44" fontId="11" fillId="0" borderId="49" xfId="1" applyFont="1" applyBorder="1" applyAlignment="1">
      <alignment horizontal="center" vertical="center"/>
    </xf>
    <xf numFmtId="44" fontId="11" fillId="0" borderId="37" xfId="1" applyFont="1" applyBorder="1" applyAlignment="1">
      <alignment horizontal="center" vertical="center"/>
    </xf>
    <xf numFmtId="0" fontId="19" fillId="0" borderId="48" xfId="1" applyNumberFormat="1" applyFont="1" applyBorder="1" applyAlignment="1">
      <alignment vertical="center"/>
    </xf>
    <xf numFmtId="0" fontId="20" fillId="5" borderId="0" xfId="0" applyFont="1" applyFill="1" applyAlignment="1">
      <alignment horizontal="center" vertical="center"/>
    </xf>
    <xf numFmtId="0" fontId="18" fillId="0" borderId="24" xfId="2" applyFont="1" applyBorder="1" applyAlignment="1">
      <alignment horizontal="center" vertical="center" textRotation="90"/>
    </xf>
    <xf numFmtId="0" fontId="18" fillId="0" borderId="61" xfId="2" applyFont="1" applyBorder="1" applyAlignment="1">
      <alignment horizontal="center" vertical="center" textRotation="90"/>
    </xf>
    <xf numFmtId="0" fontId="15" fillId="0" borderId="0" xfId="0" applyFont="1" applyAlignment="1">
      <alignment horizontal="center" vertical="center"/>
    </xf>
    <xf numFmtId="0" fontId="8" fillId="2" borderId="38" xfId="0" applyFont="1" applyFill="1" applyBorder="1" applyAlignment="1">
      <alignment horizontal="center" vertical="center"/>
    </xf>
    <xf numFmtId="0" fontId="8" fillId="2" borderId="39" xfId="0" applyFont="1" applyFill="1" applyBorder="1" applyAlignment="1">
      <alignment horizontal="center" vertical="center"/>
    </xf>
    <xf numFmtId="0" fontId="8" fillId="2" borderId="45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164" fontId="8" fillId="2" borderId="2" xfId="0" applyNumberFormat="1" applyFont="1" applyFill="1" applyBorder="1" applyAlignment="1">
      <alignment horizontal="center" vertical="center"/>
    </xf>
    <xf numFmtId="164" fontId="8" fillId="2" borderId="30" xfId="0" applyNumberFormat="1" applyFont="1" applyFill="1" applyBorder="1" applyAlignment="1">
      <alignment horizontal="center" vertical="center"/>
    </xf>
    <xf numFmtId="0" fontId="10" fillId="2" borderId="38" xfId="1" applyNumberFormat="1" applyFont="1" applyFill="1" applyBorder="1" applyAlignment="1">
      <alignment horizontal="right" vertical="center" indent="1"/>
    </xf>
    <xf numFmtId="0" fontId="10" fillId="2" borderId="39" xfId="1" applyNumberFormat="1" applyFont="1" applyFill="1" applyBorder="1" applyAlignment="1">
      <alignment horizontal="right" vertical="center" indent="1"/>
    </xf>
    <xf numFmtId="0" fontId="10" fillId="2" borderId="45" xfId="1" applyNumberFormat="1" applyFont="1" applyFill="1" applyBorder="1" applyAlignment="1">
      <alignment horizontal="right" vertical="center" indent="1"/>
    </xf>
    <xf numFmtId="0" fontId="14" fillId="0" borderId="1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5" fontId="21" fillId="0" borderId="29" xfId="0" applyNumberFormat="1" applyFont="1" applyBorder="1" applyAlignment="1">
      <alignment horizontal="left" vertical="top" indent="1"/>
    </xf>
    <xf numFmtId="15" fontId="21" fillId="0" borderId="2" xfId="0" applyNumberFormat="1" applyFont="1" applyBorder="1" applyAlignment="1">
      <alignment horizontal="left" vertical="top" indent="1"/>
    </xf>
    <xf numFmtId="15" fontId="21" fillId="0" borderId="30" xfId="0" applyNumberFormat="1" applyFont="1" applyBorder="1" applyAlignment="1">
      <alignment horizontal="left" vertical="top" indent="1"/>
    </xf>
    <xf numFmtId="0" fontId="10" fillId="2" borderId="43" xfId="1" applyNumberFormat="1" applyFont="1" applyFill="1" applyBorder="1" applyAlignment="1">
      <alignment horizontal="right" vertical="center" indent="1"/>
    </xf>
    <xf numFmtId="0" fontId="10" fillId="2" borderId="44" xfId="1" applyNumberFormat="1" applyFont="1" applyFill="1" applyBorder="1" applyAlignment="1">
      <alignment horizontal="right" vertical="center" indent="1"/>
    </xf>
    <xf numFmtId="0" fontId="10" fillId="2" borderId="49" xfId="1" applyNumberFormat="1" applyFont="1" applyFill="1" applyBorder="1" applyAlignment="1">
      <alignment horizontal="right" vertical="center" indent="1"/>
    </xf>
    <xf numFmtId="0" fontId="6" fillId="0" borderId="0" xfId="0" applyFont="1" applyAlignment="1">
      <alignment horizontal="center" vertical="center"/>
    </xf>
    <xf numFmtId="0" fontId="17" fillId="0" borderId="44" xfId="0" applyFont="1" applyBorder="1" applyAlignment="1">
      <alignment horizontal="left" vertical="center"/>
    </xf>
    <xf numFmtId="0" fontId="17" fillId="0" borderId="49" xfId="0" applyFont="1" applyBorder="1" applyAlignment="1">
      <alignment horizontal="left" vertical="center"/>
    </xf>
    <xf numFmtId="0" fontId="10" fillId="2" borderId="31" xfId="1" applyNumberFormat="1" applyFont="1" applyFill="1" applyBorder="1" applyAlignment="1">
      <alignment horizontal="left" vertical="center"/>
    </xf>
    <xf numFmtId="0" fontId="10" fillId="2" borderId="33" xfId="1" applyNumberFormat="1" applyFont="1" applyFill="1" applyBorder="1" applyAlignment="1">
      <alignment horizontal="left" vertical="center"/>
    </xf>
    <xf numFmtId="0" fontId="6" fillId="0" borderId="24" xfId="0" applyFont="1" applyBorder="1" applyAlignment="1">
      <alignment horizontal="center" vertical="center" wrapText="1"/>
    </xf>
    <xf numFmtId="0" fontId="6" fillId="0" borderId="34" xfId="0" applyFont="1" applyBorder="1" applyAlignment="1">
      <alignment horizontal="center" vertical="center" wrapText="1"/>
    </xf>
    <xf numFmtId="0" fontId="10" fillId="0" borderId="2" xfId="1" applyNumberFormat="1" applyFont="1" applyBorder="1" applyAlignment="1">
      <alignment horizontal="left" vertical="center" wrapText="1" indent="1"/>
    </xf>
    <xf numFmtId="0" fontId="10" fillId="0" borderId="39" xfId="1" applyNumberFormat="1" applyFont="1" applyBorder="1" applyAlignment="1">
      <alignment horizontal="left" vertical="center" wrapText="1" indent="1"/>
    </xf>
    <xf numFmtId="0" fontId="7" fillId="0" borderId="2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36" xfId="0" applyFont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 vertical="center"/>
    </xf>
    <xf numFmtId="0" fontId="9" fillId="0" borderId="52" xfId="0" applyFont="1" applyBorder="1" applyAlignment="1">
      <alignment horizontal="center" vertical="center"/>
    </xf>
    <xf numFmtId="0" fontId="9" fillId="0" borderId="51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30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0" borderId="39" xfId="0" applyFont="1" applyBorder="1" applyAlignment="1">
      <alignment horizontal="left" vertical="center"/>
    </xf>
    <xf numFmtId="0" fontId="17" fillId="0" borderId="45" xfId="0" applyFont="1" applyBorder="1" applyAlignment="1">
      <alignment horizontal="left" vertical="center"/>
    </xf>
    <xf numFmtId="0" fontId="16" fillId="0" borderId="38" xfId="1" applyNumberFormat="1" applyFont="1" applyBorder="1" applyAlignment="1">
      <alignment horizontal="left" vertical="center" indent="1"/>
    </xf>
    <xf numFmtId="0" fontId="16" fillId="0" borderId="39" xfId="1" applyNumberFormat="1" applyFont="1" applyBorder="1" applyAlignment="1">
      <alignment horizontal="left" vertical="center" indent="1"/>
    </xf>
    <xf numFmtId="0" fontId="13" fillId="0" borderId="25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27" xfId="0" applyFont="1" applyBorder="1" applyAlignment="1">
      <alignment horizontal="center" vertical="center" textRotation="90"/>
    </xf>
    <xf numFmtId="0" fontId="13" fillId="0" borderId="28" xfId="0" applyFont="1" applyBorder="1" applyAlignment="1">
      <alignment horizontal="center" vertical="center" textRotation="90"/>
    </xf>
    <xf numFmtId="0" fontId="13" fillId="0" borderId="29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textRotation="90"/>
    </xf>
    <xf numFmtId="0" fontId="16" fillId="0" borderId="29" xfId="1" applyNumberFormat="1" applyFont="1" applyBorder="1" applyAlignment="1">
      <alignment horizontal="left" vertical="center" indent="1"/>
    </xf>
    <xf numFmtId="0" fontId="16" fillId="0" borderId="2" xfId="1" applyNumberFormat="1" applyFont="1" applyBorder="1" applyAlignment="1">
      <alignment horizontal="left" vertical="center" indent="1"/>
    </xf>
    <xf numFmtId="0" fontId="9" fillId="0" borderId="30" xfId="0" applyFont="1" applyBorder="1" applyAlignment="1">
      <alignment horizontal="center" vertical="center" wrapText="1"/>
    </xf>
    <xf numFmtId="0" fontId="9" fillId="0" borderId="32" xfId="0" applyFont="1" applyBorder="1" applyAlignment="1">
      <alignment horizontal="center" vertical="center" wrapText="1"/>
    </xf>
    <xf numFmtId="0" fontId="9" fillId="0" borderId="42" xfId="0" applyFont="1" applyBorder="1" applyAlignment="1">
      <alignment horizontal="center" vertical="center" wrapText="1"/>
    </xf>
    <xf numFmtId="0" fontId="9" fillId="0" borderId="46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47" xfId="0" applyFont="1" applyBorder="1" applyAlignment="1">
      <alignment horizontal="center" vertical="center" wrapText="1"/>
    </xf>
    <xf numFmtId="0" fontId="10" fillId="2" borderId="3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</cellXfs>
  <cellStyles count="3">
    <cellStyle name="Moneda" xfId="1" builtinId="4"/>
    <cellStyle name="Normal" xfId="0" builtinId="0"/>
    <cellStyle name="Normal 2" xfId="2" xr:uid="{C0B9EB20-1C61-4674-80DE-9B2CD2155373}"/>
  </cellStyles>
  <dxfs count="8"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FFBDBD"/>
        </patternFill>
      </fill>
    </dxf>
    <dxf>
      <font>
        <color rgb="FFC00000"/>
      </font>
      <fill>
        <patternFill>
          <bgColor rgb="FFFFB7B7"/>
        </patternFill>
      </fill>
    </dxf>
    <dxf>
      <fill>
        <patternFill>
          <bgColor rgb="FFFFBDBD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D1D1"/>
      <color rgb="FFDAE9F8"/>
      <color rgb="FF6BA5DF"/>
      <color rgb="FF679CE3"/>
      <color rgb="FF0A74BD"/>
      <color rgb="FFFFB3B3"/>
      <color rgb="FFFFBDBD"/>
      <color rgb="FFFFB7B7"/>
      <color rgb="FFFAAAAA"/>
      <color rgb="FFE8E8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file:///C:\Users\planeacionenap\Desktop\ASDA.png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194053</xdr:colOff>
      <xdr:row>2</xdr:row>
      <xdr:rowOff>37348</xdr:rowOff>
    </xdr:from>
    <xdr:to>
      <xdr:col>3</xdr:col>
      <xdr:colOff>266405</xdr:colOff>
      <xdr:row>5</xdr:row>
      <xdr:rowOff>108131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220151-59CB-45EF-9D51-C6844D2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3968" y="228179"/>
          <a:ext cx="320366" cy="528783"/>
        </a:xfrm>
        <a:prstGeom prst="rect">
          <a:avLst/>
        </a:prstGeom>
      </xdr:spPr>
    </xdr:pic>
    <xdr:clientData/>
  </xdr:twoCellAnchor>
  <xdr:twoCellAnchor>
    <xdr:from>
      <xdr:col>1</xdr:col>
      <xdr:colOff>11254</xdr:colOff>
      <xdr:row>0</xdr:row>
      <xdr:rowOff>0</xdr:rowOff>
    </xdr:from>
    <xdr:to>
      <xdr:col>12</xdr:col>
      <xdr:colOff>326160</xdr:colOff>
      <xdr:row>0</xdr:row>
      <xdr:rowOff>619188</xdr:rowOff>
    </xdr:to>
    <xdr:sp macro="" textlink="">
      <xdr:nvSpPr>
        <xdr:cNvPr id="1333" name="Forma libre: forma 1332">
          <a:extLst>
            <a:ext uri="{FF2B5EF4-FFF2-40B4-BE49-F238E27FC236}">
              <a16:creationId xmlns:a16="http://schemas.microsoft.com/office/drawing/2014/main" id="{065CE8C8-D6EA-803A-DAE9-4870A9F38CF0}"/>
            </a:ext>
          </a:extLst>
        </xdr:cNvPr>
        <xdr:cNvSpPr/>
      </xdr:nvSpPr>
      <xdr:spPr>
        <a:xfrm flipV="1">
          <a:off x="427658" y="0"/>
          <a:ext cx="9104400" cy="619188"/>
        </a:xfrm>
        <a:custGeom>
          <a:avLst/>
          <a:gdLst>
            <a:gd name="connsiteX0" fmla="*/ 7010626 w 8041479"/>
            <a:gd name="connsiteY0" fmla="*/ 322872 h 619188"/>
            <a:gd name="connsiteX1" fmla="*/ 6797421 w 8041479"/>
            <a:gd name="connsiteY1" fmla="*/ 234559 h 619188"/>
            <a:gd name="connsiteX2" fmla="*/ 6742835 w 8041479"/>
            <a:gd name="connsiteY2" fmla="*/ 153598 h 619188"/>
            <a:gd name="connsiteX3" fmla="*/ 6744499 w 8041479"/>
            <a:gd name="connsiteY3" fmla="*/ 158958 h 619188"/>
            <a:gd name="connsiteX4" fmla="*/ 6690125 w 8041479"/>
            <a:gd name="connsiteY4" fmla="*/ 78310 h 619188"/>
            <a:gd name="connsiteX5" fmla="*/ 6605138 w 8041479"/>
            <a:gd name="connsiteY5" fmla="*/ 21012 h 619188"/>
            <a:gd name="connsiteX6" fmla="*/ 6501070 w 8041479"/>
            <a:gd name="connsiteY6" fmla="*/ 1 h 619188"/>
            <a:gd name="connsiteX7" fmla="*/ 6713419 w 8041479"/>
            <a:gd name="connsiteY7" fmla="*/ 1 h 619188"/>
            <a:gd name="connsiteX8" fmla="*/ 6723954 w 8041479"/>
            <a:gd name="connsiteY8" fmla="*/ 1 h 619188"/>
            <a:gd name="connsiteX9" fmla="*/ 7297300 w 8041479"/>
            <a:gd name="connsiteY9" fmla="*/ 1 h 619188"/>
            <a:gd name="connsiteX10" fmla="*/ 7307833 w 8041479"/>
            <a:gd name="connsiteY10" fmla="*/ 1 h 619188"/>
            <a:gd name="connsiteX11" fmla="*/ 7520184 w 8041479"/>
            <a:gd name="connsiteY11" fmla="*/ 1 h 619188"/>
            <a:gd name="connsiteX12" fmla="*/ 7416116 w 8041479"/>
            <a:gd name="connsiteY12" fmla="*/ 21012 h 619188"/>
            <a:gd name="connsiteX13" fmla="*/ 7331129 w 8041479"/>
            <a:gd name="connsiteY13" fmla="*/ 78310 h 619188"/>
            <a:gd name="connsiteX14" fmla="*/ 7276755 w 8041479"/>
            <a:gd name="connsiteY14" fmla="*/ 158958 h 619188"/>
            <a:gd name="connsiteX15" fmla="*/ 7278421 w 8041479"/>
            <a:gd name="connsiteY15" fmla="*/ 153593 h 619188"/>
            <a:gd name="connsiteX16" fmla="*/ 7223831 w 8041479"/>
            <a:gd name="connsiteY16" fmla="*/ 234559 h 619188"/>
            <a:gd name="connsiteX17" fmla="*/ 7010626 w 8041479"/>
            <a:gd name="connsiteY17" fmla="*/ 322872 h 619188"/>
            <a:gd name="connsiteX18" fmla="*/ 5810985 w 8041479"/>
            <a:gd name="connsiteY18" fmla="*/ 322872 h 619188"/>
            <a:gd name="connsiteX19" fmla="*/ 5597781 w 8041479"/>
            <a:gd name="connsiteY19" fmla="*/ 234559 h 619188"/>
            <a:gd name="connsiteX20" fmla="*/ 5543194 w 8041479"/>
            <a:gd name="connsiteY20" fmla="*/ 153598 h 619188"/>
            <a:gd name="connsiteX21" fmla="*/ 5544858 w 8041479"/>
            <a:gd name="connsiteY21" fmla="*/ 158958 h 619188"/>
            <a:gd name="connsiteX22" fmla="*/ 5490484 w 8041479"/>
            <a:gd name="connsiteY22" fmla="*/ 78310 h 619188"/>
            <a:gd name="connsiteX23" fmla="*/ 5405497 w 8041479"/>
            <a:gd name="connsiteY23" fmla="*/ 21012 h 619188"/>
            <a:gd name="connsiteX24" fmla="*/ 5301429 w 8041479"/>
            <a:gd name="connsiteY24" fmla="*/ 1 h 619188"/>
            <a:gd name="connsiteX25" fmla="*/ 5513778 w 8041479"/>
            <a:gd name="connsiteY25" fmla="*/ 1 h 619188"/>
            <a:gd name="connsiteX26" fmla="*/ 5524313 w 8041479"/>
            <a:gd name="connsiteY26" fmla="*/ 1 h 619188"/>
            <a:gd name="connsiteX27" fmla="*/ 6097659 w 8041479"/>
            <a:gd name="connsiteY27" fmla="*/ 1 h 619188"/>
            <a:gd name="connsiteX28" fmla="*/ 6108193 w 8041479"/>
            <a:gd name="connsiteY28" fmla="*/ 1 h 619188"/>
            <a:gd name="connsiteX29" fmla="*/ 6320543 w 8041479"/>
            <a:gd name="connsiteY29" fmla="*/ 1 h 619188"/>
            <a:gd name="connsiteX30" fmla="*/ 6216476 w 8041479"/>
            <a:gd name="connsiteY30" fmla="*/ 21012 h 619188"/>
            <a:gd name="connsiteX31" fmla="*/ 6131488 w 8041479"/>
            <a:gd name="connsiteY31" fmla="*/ 78310 h 619188"/>
            <a:gd name="connsiteX32" fmla="*/ 6077114 w 8041479"/>
            <a:gd name="connsiteY32" fmla="*/ 158958 h 619188"/>
            <a:gd name="connsiteX33" fmla="*/ 6078780 w 8041479"/>
            <a:gd name="connsiteY33" fmla="*/ 153593 h 619188"/>
            <a:gd name="connsiteX34" fmla="*/ 6024190 w 8041479"/>
            <a:gd name="connsiteY34" fmla="*/ 234559 h 619188"/>
            <a:gd name="connsiteX35" fmla="*/ 5810985 w 8041479"/>
            <a:gd name="connsiteY35" fmla="*/ 322872 h 619188"/>
            <a:gd name="connsiteX36" fmla="*/ 4611346 w 8041479"/>
            <a:gd name="connsiteY36" fmla="*/ 322872 h 619188"/>
            <a:gd name="connsiteX37" fmla="*/ 4398142 w 8041479"/>
            <a:gd name="connsiteY37" fmla="*/ 234559 h 619188"/>
            <a:gd name="connsiteX38" fmla="*/ 4343555 w 8041479"/>
            <a:gd name="connsiteY38" fmla="*/ 153598 h 619188"/>
            <a:gd name="connsiteX39" fmla="*/ 4345219 w 8041479"/>
            <a:gd name="connsiteY39" fmla="*/ 158958 h 619188"/>
            <a:gd name="connsiteX40" fmla="*/ 4290845 w 8041479"/>
            <a:gd name="connsiteY40" fmla="*/ 78310 h 619188"/>
            <a:gd name="connsiteX41" fmla="*/ 4205858 w 8041479"/>
            <a:gd name="connsiteY41" fmla="*/ 21012 h 619188"/>
            <a:gd name="connsiteX42" fmla="*/ 4101790 w 8041479"/>
            <a:gd name="connsiteY42" fmla="*/ 1 h 619188"/>
            <a:gd name="connsiteX43" fmla="*/ 4314139 w 8041479"/>
            <a:gd name="connsiteY43" fmla="*/ 1 h 619188"/>
            <a:gd name="connsiteX44" fmla="*/ 4324674 w 8041479"/>
            <a:gd name="connsiteY44" fmla="*/ 1 h 619188"/>
            <a:gd name="connsiteX45" fmla="*/ 4898020 w 8041479"/>
            <a:gd name="connsiteY45" fmla="*/ 1 h 619188"/>
            <a:gd name="connsiteX46" fmla="*/ 4908554 w 8041479"/>
            <a:gd name="connsiteY46" fmla="*/ 1 h 619188"/>
            <a:gd name="connsiteX47" fmla="*/ 5120904 w 8041479"/>
            <a:gd name="connsiteY47" fmla="*/ 1 h 619188"/>
            <a:gd name="connsiteX48" fmla="*/ 5016837 w 8041479"/>
            <a:gd name="connsiteY48" fmla="*/ 21012 h 619188"/>
            <a:gd name="connsiteX49" fmla="*/ 4931849 w 8041479"/>
            <a:gd name="connsiteY49" fmla="*/ 78310 h 619188"/>
            <a:gd name="connsiteX50" fmla="*/ 4877475 w 8041479"/>
            <a:gd name="connsiteY50" fmla="*/ 158958 h 619188"/>
            <a:gd name="connsiteX51" fmla="*/ 4879141 w 8041479"/>
            <a:gd name="connsiteY51" fmla="*/ 153593 h 619188"/>
            <a:gd name="connsiteX52" fmla="*/ 4824551 w 8041479"/>
            <a:gd name="connsiteY52" fmla="*/ 234559 h 619188"/>
            <a:gd name="connsiteX53" fmla="*/ 4611346 w 8041479"/>
            <a:gd name="connsiteY53" fmla="*/ 322872 h 619188"/>
            <a:gd name="connsiteX54" fmla="*/ 3411707 w 8041479"/>
            <a:gd name="connsiteY54" fmla="*/ 322872 h 619188"/>
            <a:gd name="connsiteX55" fmla="*/ 3198503 w 8041479"/>
            <a:gd name="connsiteY55" fmla="*/ 234559 h 619188"/>
            <a:gd name="connsiteX56" fmla="*/ 3143916 w 8041479"/>
            <a:gd name="connsiteY56" fmla="*/ 153598 h 619188"/>
            <a:gd name="connsiteX57" fmla="*/ 3145580 w 8041479"/>
            <a:gd name="connsiteY57" fmla="*/ 158958 h 619188"/>
            <a:gd name="connsiteX58" fmla="*/ 3091206 w 8041479"/>
            <a:gd name="connsiteY58" fmla="*/ 78310 h 619188"/>
            <a:gd name="connsiteX59" fmla="*/ 3006219 w 8041479"/>
            <a:gd name="connsiteY59" fmla="*/ 21012 h 619188"/>
            <a:gd name="connsiteX60" fmla="*/ 2902151 w 8041479"/>
            <a:gd name="connsiteY60" fmla="*/ 1 h 619188"/>
            <a:gd name="connsiteX61" fmla="*/ 3114500 w 8041479"/>
            <a:gd name="connsiteY61" fmla="*/ 1 h 619188"/>
            <a:gd name="connsiteX62" fmla="*/ 3125035 w 8041479"/>
            <a:gd name="connsiteY62" fmla="*/ 1 h 619188"/>
            <a:gd name="connsiteX63" fmla="*/ 3698381 w 8041479"/>
            <a:gd name="connsiteY63" fmla="*/ 1 h 619188"/>
            <a:gd name="connsiteX64" fmla="*/ 3708915 w 8041479"/>
            <a:gd name="connsiteY64" fmla="*/ 1 h 619188"/>
            <a:gd name="connsiteX65" fmla="*/ 3921265 w 8041479"/>
            <a:gd name="connsiteY65" fmla="*/ 1 h 619188"/>
            <a:gd name="connsiteX66" fmla="*/ 3817198 w 8041479"/>
            <a:gd name="connsiteY66" fmla="*/ 21012 h 619188"/>
            <a:gd name="connsiteX67" fmla="*/ 3732210 w 8041479"/>
            <a:gd name="connsiteY67" fmla="*/ 78310 h 619188"/>
            <a:gd name="connsiteX68" fmla="*/ 3677836 w 8041479"/>
            <a:gd name="connsiteY68" fmla="*/ 158958 h 619188"/>
            <a:gd name="connsiteX69" fmla="*/ 3679502 w 8041479"/>
            <a:gd name="connsiteY69" fmla="*/ 153593 h 619188"/>
            <a:gd name="connsiteX70" fmla="*/ 3624912 w 8041479"/>
            <a:gd name="connsiteY70" fmla="*/ 234559 h 619188"/>
            <a:gd name="connsiteX71" fmla="*/ 3411707 w 8041479"/>
            <a:gd name="connsiteY71" fmla="*/ 322872 h 619188"/>
            <a:gd name="connsiteX72" fmla="*/ 2212068 w 8041479"/>
            <a:gd name="connsiteY72" fmla="*/ 322872 h 619188"/>
            <a:gd name="connsiteX73" fmla="*/ 1998864 w 8041479"/>
            <a:gd name="connsiteY73" fmla="*/ 234559 h 619188"/>
            <a:gd name="connsiteX74" fmla="*/ 1944278 w 8041479"/>
            <a:gd name="connsiteY74" fmla="*/ 153598 h 619188"/>
            <a:gd name="connsiteX75" fmla="*/ 1945942 w 8041479"/>
            <a:gd name="connsiteY75" fmla="*/ 158958 h 619188"/>
            <a:gd name="connsiteX76" fmla="*/ 1891568 w 8041479"/>
            <a:gd name="connsiteY76" fmla="*/ 78310 h 619188"/>
            <a:gd name="connsiteX77" fmla="*/ 1806580 w 8041479"/>
            <a:gd name="connsiteY77" fmla="*/ 21012 h 619188"/>
            <a:gd name="connsiteX78" fmla="*/ 1702512 w 8041479"/>
            <a:gd name="connsiteY78" fmla="*/ 1 h 619188"/>
            <a:gd name="connsiteX79" fmla="*/ 1914861 w 8041479"/>
            <a:gd name="connsiteY79" fmla="*/ 1 h 619188"/>
            <a:gd name="connsiteX80" fmla="*/ 1925397 w 8041479"/>
            <a:gd name="connsiteY80" fmla="*/ 1 h 619188"/>
            <a:gd name="connsiteX81" fmla="*/ 2498742 w 8041479"/>
            <a:gd name="connsiteY81" fmla="*/ 1 h 619188"/>
            <a:gd name="connsiteX82" fmla="*/ 2509276 w 8041479"/>
            <a:gd name="connsiteY82" fmla="*/ 1 h 619188"/>
            <a:gd name="connsiteX83" fmla="*/ 2721626 w 8041479"/>
            <a:gd name="connsiteY83" fmla="*/ 1 h 619188"/>
            <a:gd name="connsiteX84" fmla="*/ 2617559 w 8041479"/>
            <a:gd name="connsiteY84" fmla="*/ 21012 h 619188"/>
            <a:gd name="connsiteX85" fmla="*/ 2532571 w 8041479"/>
            <a:gd name="connsiteY85" fmla="*/ 78310 h 619188"/>
            <a:gd name="connsiteX86" fmla="*/ 2478197 w 8041479"/>
            <a:gd name="connsiteY86" fmla="*/ 158958 h 619188"/>
            <a:gd name="connsiteX87" fmla="*/ 2479863 w 8041479"/>
            <a:gd name="connsiteY87" fmla="*/ 153593 h 619188"/>
            <a:gd name="connsiteX88" fmla="*/ 2425273 w 8041479"/>
            <a:gd name="connsiteY88" fmla="*/ 234559 h 619188"/>
            <a:gd name="connsiteX89" fmla="*/ 2212068 w 8041479"/>
            <a:gd name="connsiteY89" fmla="*/ 322872 h 619188"/>
            <a:gd name="connsiteX90" fmla="*/ 1012430 w 8041479"/>
            <a:gd name="connsiteY90" fmla="*/ 322872 h 619188"/>
            <a:gd name="connsiteX91" fmla="*/ 799225 w 8041479"/>
            <a:gd name="connsiteY91" fmla="*/ 234559 h 619188"/>
            <a:gd name="connsiteX92" fmla="*/ 744639 w 8041479"/>
            <a:gd name="connsiteY92" fmla="*/ 153598 h 619188"/>
            <a:gd name="connsiteX93" fmla="*/ 746303 w 8041479"/>
            <a:gd name="connsiteY93" fmla="*/ 158958 h 619188"/>
            <a:gd name="connsiteX94" fmla="*/ 691929 w 8041479"/>
            <a:gd name="connsiteY94" fmla="*/ 78310 h 619188"/>
            <a:gd name="connsiteX95" fmla="*/ 606942 w 8041479"/>
            <a:gd name="connsiteY95" fmla="*/ 21012 h 619188"/>
            <a:gd name="connsiteX96" fmla="*/ 502874 w 8041479"/>
            <a:gd name="connsiteY96" fmla="*/ 1 h 619188"/>
            <a:gd name="connsiteX97" fmla="*/ 715223 w 8041479"/>
            <a:gd name="connsiteY97" fmla="*/ 1 h 619188"/>
            <a:gd name="connsiteX98" fmla="*/ 725758 w 8041479"/>
            <a:gd name="connsiteY98" fmla="*/ 1 h 619188"/>
            <a:gd name="connsiteX99" fmla="*/ 1299104 w 8041479"/>
            <a:gd name="connsiteY99" fmla="*/ 1 h 619188"/>
            <a:gd name="connsiteX100" fmla="*/ 1309638 w 8041479"/>
            <a:gd name="connsiteY100" fmla="*/ 1 h 619188"/>
            <a:gd name="connsiteX101" fmla="*/ 1521988 w 8041479"/>
            <a:gd name="connsiteY101" fmla="*/ 1 h 619188"/>
            <a:gd name="connsiteX102" fmla="*/ 1417921 w 8041479"/>
            <a:gd name="connsiteY102" fmla="*/ 21012 h 619188"/>
            <a:gd name="connsiteX103" fmla="*/ 1332933 w 8041479"/>
            <a:gd name="connsiteY103" fmla="*/ 78310 h 619188"/>
            <a:gd name="connsiteX104" fmla="*/ 1278559 w 8041479"/>
            <a:gd name="connsiteY104" fmla="*/ 158958 h 619188"/>
            <a:gd name="connsiteX105" fmla="*/ 1280225 w 8041479"/>
            <a:gd name="connsiteY105" fmla="*/ 153593 h 619188"/>
            <a:gd name="connsiteX106" fmla="*/ 1225636 w 8041479"/>
            <a:gd name="connsiteY106" fmla="*/ 234559 h 619188"/>
            <a:gd name="connsiteX107" fmla="*/ 1012430 w 8041479"/>
            <a:gd name="connsiteY107" fmla="*/ 322872 h 619188"/>
            <a:gd name="connsiteX108" fmla="*/ 0 w 8041479"/>
            <a:gd name="connsiteY108" fmla="*/ 619188 h 619188"/>
            <a:gd name="connsiteX109" fmla="*/ 8041479 w 8041479"/>
            <a:gd name="connsiteY109" fmla="*/ 619188 h 619188"/>
            <a:gd name="connsiteX110" fmla="*/ 8041479 w 8041479"/>
            <a:gd name="connsiteY110" fmla="*/ 224499 h 619188"/>
            <a:gd name="connsiteX111" fmla="*/ 7816980 w 8041479"/>
            <a:gd name="connsiteY111" fmla="*/ 0 h 619188"/>
            <a:gd name="connsiteX112" fmla="*/ 224499 w 8041479"/>
            <a:gd name="connsiteY112" fmla="*/ 0 h 619188"/>
            <a:gd name="connsiteX113" fmla="*/ 0 w 8041479"/>
            <a:gd name="connsiteY113" fmla="*/ 224499 h 6191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</a:cxnLst>
          <a:rect l="l" t="t" r="r" b="b"/>
          <a:pathLst>
            <a:path w="8041479" h="619188">
              <a:moveTo>
                <a:pt x="7010626" y="322872"/>
              </a:moveTo>
              <a:cubicBezTo>
                <a:pt x="6927365" y="322872"/>
                <a:pt x="6851985" y="289124"/>
                <a:pt x="6797421" y="234559"/>
              </a:cubicBezTo>
              <a:lnTo>
                <a:pt x="6742835" y="153598"/>
              </a:lnTo>
              <a:lnTo>
                <a:pt x="6744499" y="158958"/>
              </a:lnTo>
              <a:lnTo>
                <a:pt x="6690125" y="78310"/>
              </a:lnTo>
              <a:cubicBezTo>
                <a:pt x="6665932" y="54117"/>
                <a:pt x="6637125" y="34542"/>
                <a:pt x="6605138" y="21012"/>
              </a:cubicBezTo>
              <a:lnTo>
                <a:pt x="6501070" y="1"/>
              </a:lnTo>
              <a:lnTo>
                <a:pt x="6713419" y="1"/>
              </a:lnTo>
              <a:lnTo>
                <a:pt x="6723954" y="1"/>
              </a:lnTo>
              <a:lnTo>
                <a:pt x="7297300" y="1"/>
              </a:lnTo>
              <a:lnTo>
                <a:pt x="7307833" y="1"/>
              </a:lnTo>
              <a:lnTo>
                <a:pt x="7520184" y="1"/>
              </a:lnTo>
              <a:lnTo>
                <a:pt x="7416116" y="21012"/>
              </a:lnTo>
              <a:cubicBezTo>
                <a:pt x="7384129" y="34542"/>
                <a:pt x="7355322" y="54117"/>
                <a:pt x="7331129" y="78310"/>
              </a:cubicBezTo>
              <a:lnTo>
                <a:pt x="7276755" y="158958"/>
              </a:lnTo>
              <a:lnTo>
                <a:pt x="7278421" y="153593"/>
              </a:lnTo>
              <a:lnTo>
                <a:pt x="7223831" y="234559"/>
              </a:lnTo>
              <a:cubicBezTo>
                <a:pt x="7169267" y="289124"/>
                <a:pt x="7093889" y="322872"/>
                <a:pt x="7010626" y="322872"/>
              </a:cubicBezTo>
              <a:close/>
              <a:moveTo>
                <a:pt x="5810985" y="322872"/>
              </a:moveTo>
              <a:cubicBezTo>
                <a:pt x="5727724" y="322872"/>
                <a:pt x="5652345" y="289124"/>
                <a:pt x="5597781" y="234559"/>
              </a:cubicBezTo>
              <a:lnTo>
                <a:pt x="5543194" y="153598"/>
              </a:lnTo>
              <a:lnTo>
                <a:pt x="5544858" y="158958"/>
              </a:lnTo>
              <a:lnTo>
                <a:pt x="5490484" y="78310"/>
              </a:lnTo>
              <a:cubicBezTo>
                <a:pt x="5466292" y="54117"/>
                <a:pt x="5437485" y="34542"/>
                <a:pt x="5405497" y="21012"/>
              </a:cubicBezTo>
              <a:lnTo>
                <a:pt x="5301429" y="1"/>
              </a:lnTo>
              <a:lnTo>
                <a:pt x="5513778" y="1"/>
              </a:lnTo>
              <a:lnTo>
                <a:pt x="5524313" y="1"/>
              </a:lnTo>
              <a:lnTo>
                <a:pt x="6097659" y="1"/>
              </a:lnTo>
              <a:lnTo>
                <a:pt x="6108193" y="1"/>
              </a:lnTo>
              <a:lnTo>
                <a:pt x="6320543" y="1"/>
              </a:lnTo>
              <a:lnTo>
                <a:pt x="6216476" y="21012"/>
              </a:lnTo>
              <a:cubicBezTo>
                <a:pt x="6184488" y="34542"/>
                <a:pt x="6155681" y="54117"/>
                <a:pt x="6131488" y="78310"/>
              </a:cubicBezTo>
              <a:lnTo>
                <a:pt x="6077114" y="158958"/>
              </a:lnTo>
              <a:lnTo>
                <a:pt x="6078780" y="153593"/>
              </a:lnTo>
              <a:lnTo>
                <a:pt x="6024190" y="234559"/>
              </a:lnTo>
              <a:cubicBezTo>
                <a:pt x="5969626" y="289124"/>
                <a:pt x="5894248" y="322872"/>
                <a:pt x="5810985" y="322872"/>
              </a:cubicBezTo>
              <a:close/>
              <a:moveTo>
                <a:pt x="4611346" y="322872"/>
              </a:moveTo>
              <a:cubicBezTo>
                <a:pt x="4528085" y="322872"/>
                <a:pt x="4452706" y="289124"/>
                <a:pt x="4398142" y="234559"/>
              </a:cubicBezTo>
              <a:lnTo>
                <a:pt x="4343555" y="153598"/>
              </a:lnTo>
              <a:lnTo>
                <a:pt x="4345219" y="158958"/>
              </a:lnTo>
              <a:lnTo>
                <a:pt x="4290845" y="78310"/>
              </a:lnTo>
              <a:cubicBezTo>
                <a:pt x="4266653" y="54117"/>
                <a:pt x="4237846" y="34542"/>
                <a:pt x="4205858" y="21012"/>
              </a:cubicBezTo>
              <a:lnTo>
                <a:pt x="4101790" y="1"/>
              </a:lnTo>
              <a:lnTo>
                <a:pt x="4314139" y="1"/>
              </a:lnTo>
              <a:lnTo>
                <a:pt x="4324674" y="1"/>
              </a:lnTo>
              <a:lnTo>
                <a:pt x="4898020" y="1"/>
              </a:lnTo>
              <a:lnTo>
                <a:pt x="4908554" y="1"/>
              </a:lnTo>
              <a:lnTo>
                <a:pt x="5120904" y="1"/>
              </a:lnTo>
              <a:lnTo>
                <a:pt x="5016837" y="21012"/>
              </a:lnTo>
              <a:cubicBezTo>
                <a:pt x="4984849" y="34542"/>
                <a:pt x="4956042" y="54117"/>
                <a:pt x="4931849" y="78310"/>
              </a:cubicBezTo>
              <a:lnTo>
                <a:pt x="4877475" y="158958"/>
              </a:lnTo>
              <a:lnTo>
                <a:pt x="4879141" y="153593"/>
              </a:lnTo>
              <a:lnTo>
                <a:pt x="4824551" y="234559"/>
              </a:lnTo>
              <a:cubicBezTo>
                <a:pt x="4769987" y="289124"/>
                <a:pt x="4694609" y="322872"/>
                <a:pt x="4611346" y="322872"/>
              </a:cubicBezTo>
              <a:close/>
              <a:moveTo>
                <a:pt x="3411707" y="322872"/>
              </a:moveTo>
              <a:cubicBezTo>
                <a:pt x="3328446" y="322872"/>
                <a:pt x="3253067" y="289124"/>
                <a:pt x="3198503" y="234559"/>
              </a:cubicBezTo>
              <a:lnTo>
                <a:pt x="3143916" y="153598"/>
              </a:lnTo>
              <a:lnTo>
                <a:pt x="3145580" y="158958"/>
              </a:lnTo>
              <a:lnTo>
                <a:pt x="3091206" y="78310"/>
              </a:lnTo>
              <a:cubicBezTo>
                <a:pt x="3067014" y="54117"/>
                <a:pt x="3038207" y="34542"/>
                <a:pt x="3006219" y="21012"/>
              </a:cubicBezTo>
              <a:lnTo>
                <a:pt x="2902151" y="1"/>
              </a:lnTo>
              <a:lnTo>
                <a:pt x="3114500" y="1"/>
              </a:lnTo>
              <a:lnTo>
                <a:pt x="3125035" y="1"/>
              </a:lnTo>
              <a:lnTo>
                <a:pt x="3698381" y="1"/>
              </a:lnTo>
              <a:lnTo>
                <a:pt x="3708915" y="1"/>
              </a:lnTo>
              <a:lnTo>
                <a:pt x="3921265" y="1"/>
              </a:lnTo>
              <a:lnTo>
                <a:pt x="3817198" y="21012"/>
              </a:lnTo>
              <a:cubicBezTo>
                <a:pt x="3785210" y="34542"/>
                <a:pt x="3756403" y="54117"/>
                <a:pt x="3732210" y="78310"/>
              </a:cubicBezTo>
              <a:lnTo>
                <a:pt x="3677836" y="158958"/>
              </a:lnTo>
              <a:lnTo>
                <a:pt x="3679502" y="153593"/>
              </a:lnTo>
              <a:lnTo>
                <a:pt x="3624912" y="234559"/>
              </a:lnTo>
              <a:cubicBezTo>
                <a:pt x="3570348" y="289124"/>
                <a:pt x="3494970" y="322872"/>
                <a:pt x="3411707" y="322872"/>
              </a:cubicBezTo>
              <a:close/>
              <a:moveTo>
                <a:pt x="2212068" y="322872"/>
              </a:moveTo>
              <a:cubicBezTo>
                <a:pt x="2128807" y="322872"/>
                <a:pt x="2053428" y="289124"/>
                <a:pt x="1998864" y="234559"/>
              </a:cubicBezTo>
              <a:lnTo>
                <a:pt x="1944278" y="153598"/>
              </a:lnTo>
              <a:lnTo>
                <a:pt x="1945942" y="158958"/>
              </a:lnTo>
              <a:lnTo>
                <a:pt x="1891568" y="78310"/>
              </a:lnTo>
              <a:cubicBezTo>
                <a:pt x="1867375" y="54117"/>
                <a:pt x="1838568" y="34542"/>
                <a:pt x="1806580" y="21012"/>
              </a:cubicBezTo>
              <a:lnTo>
                <a:pt x="1702512" y="1"/>
              </a:lnTo>
              <a:lnTo>
                <a:pt x="1914861" y="1"/>
              </a:lnTo>
              <a:lnTo>
                <a:pt x="1925397" y="1"/>
              </a:lnTo>
              <a:lnTo>
                <a:pt x="2498742" y="1"/>
              </a:lnTo>
              <a:lnTo>
                <a:pt x="2509276" y="1"/>
              </a:lnTo>
              <a:lnTo>
                <a:pt x="2721626" y="1"/>
              </a:lnTo>
              <a:lnTo>
                <a:pt x="2617559" y="21012"/>
              </a:lnTo>
              <a:cubicBezTo>
                <a:pt x="2585571" y="34542"/>
                <a:pt x="2556764" y="54117"/>
                <a:pt x="2532571" y="78310"/>
              </a:cubicBezTo>
              <a:lnTo>
                <a:pt x="2478197" y="158958"/>
              </a:lnTo>
              <a:lnTo>
                <a:pt x="2479863" y="153593"/>
              </a:lnTo>
              <a:lnTo>
                <a:pt x="2425273" y="234559"/>
              </a:lnTo>
              <a:cubicBezTo>
                <a:pt x="2370709" y="289124"/>
                <a:pt x="2295331" y="322872"/>
                <a:pt x="2212068" y="322872"/>
              </a:cubicBezTo>
              <a:close/>
              <a:moveTo>
                <a:pt x="1012430" y="322872"/>
              </a:moveTo>
              <a:cubicBezTo>
                <a:pt x="929170" y="322872"/>
                <a:pt x="853790" y="289124"/>
                <a:pt x="799225" y="234559"/>
              </a:cubicBezTo>
              <a:lnTo>
                <a:pt x="744639" y="153598"/>
              </a:lnTo>
              <a:lnTo>
                <a:pt x="746303" y="158958"/>
              </a:lnTo>
              <a:lnTo>
                <a:pt x="691929" y="78310"/>
              </a:lnTo>
              <a:cubicBezTo>
                <a:pt x="667737" y="54117"/>
                <a:pt x="638930" y="34542"/>
                <a:pt x="606942" y="21012"/>
              </a:cubicBezTo>
              <a:lnTo>
                <a:pt x="502874" y="1"/>
              </a:lnTo>
              <a:lnTo>
                <a:pt x="715223" y="1"/>
              </a:lnTo>
              <a:lnTo>
                <a:pt x="725758" y="1"/>
              </a:lnTo>
              <a:lnTo>
                <a:pt x="1299104" y="1"/>
              </a:lnTo>
              <a:lnTo>
                <a:pt x="1309638" y="1"/>
              </a:lnTo>
              <a:lnTo>
                <a:pt x="1521988" y="1"/>
              </a:lnTo>
              <a:lnTo>
                <a:pt x="1417921" y="21012"/>
              </a:lnTo>
              <a:cubicBezTo>
                <a:pt x="1385933" y="34542"/>
                <a:pt x="1357126" y="54117"/>
                <a:pt x="1332933" y="78310"/>
              </a:cubicBezTo>
              <a:lnTo>
                <a:pt x="1278559" y="158958"/>
              </a:lnTo>
              <a:lnTo>
                <a:pt x="1280225" y="153593"/>
              </a:lnTo>
              <a:lnTo>
                <a:pt x="1225636" y="234559"/>
              </a:lnTo>
              <a:cubicBezTo>
                <a:pt x="1171071" y="289124"/>
                <a:pt x="1095693" y="322872"/>
                <a:pt x="1012430" y="322872"/>
              </a:cubicBezTo>
              <a:close/>
              <a:moveTo>
                <a:pt x="0" y="619188"/>
              </a:moveTo>
              <a:lnTo>
                <a:pt x="8041479" y="619188"/>
              </a:lnTo>
              <a:lnTo>
                <a:pt x="8041479" y="224499"/>
              </a:lnTo>
              <a:cubicBezTo>
                <a:pt x="8041479" y="100512"/>
                <a:pt x="7940967" y="0"/>
                <a:pt x="7816980" y="0"/>
              </a:cubicBezTo>
              <a:lnTo>
                <a:pt x="224499" y="0"/>
              </a:lnTo>
              <a:cubicBezTo>
                <a:pt x="100512" y="0"/>
                <a:pt x="0" y="100512"/>
                <a:pt x="0" y="224499"/>
              </a:cubicBezTo>
              <a:close/>
            </a:path>
          </a:pathLst>
        </a:custGeom>
        <a:gradFill flip="none" rotWithShape="1">
          <a:gsLst>
            <a:gs pos="0">
              <a:srgbClr val="0A74BD">
                <a:lumMod val="99000"/>
              </a:srgbClr>
            </a:gs>
            <a:gs pos="100000">
              <a:srgbClr val="0070C0"/>
            </a:gs>
          </a:gsLst>
          <a:lin ang="5400000" scaled="1"/>
          <a:tileRect/>
        </a:gra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s-CO" sz="1100"/>
        </a:p>
      </xdr:txBody>
    </xdr:sp>
    <xdr:clientData/>
  </xdr:twoCellAnchor>
  <xdr:twoCellAnchor>
    <xdr:from>
      <xdr:col>3</xdr:col>
      <xdr:colOff>57014</xdr:colOff>
      <xdr:row>0</xdr:row>
      <xdr:rowOff>56963</xdr:rowOff>
    </xdr:from>
    <xdr:to>
      <xdr:col>4</xdr:col>
      <xdr:colOff>628680</xdr:colOff>
      <xdr:row>0</xdr:row>
      <xdr:rowOff>818591</xdr:rowOff>
    </xdr:to>
    <xdr:grpSp>
      <xdr:nvGrpSpPr>
        <xdr:cNvPr id="1334" name="Grupo 1333">
          <a:extLst>
            <a:ext uri="{FF2B5EF4-FFF2-40B4-BE49-F238E27FC236}">
              <a16:creationId xmlns:a16="http://schemas.microsoft.com/office/drawing/2014/main" id="{81171AF1-345F-07D9-BCDF-B3D7BB543FF1}"/>
            </a:ext>
          </a:extLst>
        </xdr:cNvPr>
        <xdr:cNvGrpSpPr/>
      </xdr:nvGrpSpPr>
      <xdr:grpSpPr>
        <a:xfrm>
          <a:off x="1514753" y="56963"/>
          <a:ext cx="1028866" cy="761628"/>
          <a:chOff x="2536026" y="3075466"/>
          <a:chExt cx="1061222" cy="761628"/>
        </a:xfrm>
      </xdr:grpSpPr>
      <xdr:sp macro="[0]!Optativas" textlink="">
        <xdr:nvSpPr>
          <xdr:cNvPr id="1356" name="Elipse 1355">
            <a:extLst>
              <a:ext uri="{FF2B5EF4-FFF2-40B4-BE49-F238E27FC236}">
                <a16:creationId xmlns:a16="http://schemas.microsoft.com/office/drawing/2014/main" id="{0AEF0D34-E163-B634-01B4-5FF7B1839AC7}"/>
              </a:ext>
            </a:extLst>
          </xdr:cNvPr>
          <xdr:cNvSpPr/>
        </xdr:nvSpPr>
        <xdr:spPr>
          <a:xfrm>
            <a:off x="2854280" y="3370274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Optativas" textlink="">
        <xdr:nvSpPr>
          <xdr:cNvPr id="1357" name="CuadroTexto 32">
            <a:extLst>
              <a:ext uri="{FF2B5EF4-FFF2-40B4-BE49-F238E27FC236}">
                <a16:creationId xmlns:a16="http://schemas.microsoft.com/office/drawing/2014/main" id="{F3F18F96-722F-F4D0-F45C-1221B5BC9F70}"/>
              </a:ext>
            </a:extLst>
          </xdr:cNvPr>
          <xdr:cNvSpPr txBox="1"/>
        </xdr:nvSpPr>
        <xdr:spPr>
          <a:xfrm>
            <a:off x="2536026" y="3075466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</a:t>
            </a:r>
            <a:r>
              <a:rPr lang="es-CO" sz="7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Electivas</a:t>
            </a:r>
            <a:endParaRPr lang="es-CO" sz="7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Optativas">
        <xdr:nvPicPr>
          <xdr:cNvPr id="1358" name="Gráfico 47" descr="Libros con relleno sólido">
            <a:extLst>
              <a:ext uri="{FF2B5EF4-FFF2-40B4-BE49-F238E27FC236}">
                <a16:creationId xmlns:a16="http://schemas.microsoft.com/office/drawing/2014/main" id="{8A6F3B5F-71F8-7C0D-FE8F-3447965040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979691" y="3493960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5</xdr:col>
      <xdr:colOff>92511</xdr:colOff>
      <xdr:row>0</xdr:row>
      <xdr:rowOff>56963</xdr:rowOff>
    </xdr:from>
    <xdr:to>
      <xdr:col>5</xdr:col>
      <xdr:colOff>1153733</xdr:colOff>
      <xdr:row>0</xdr:row>
      <xdr:rowOff>818591</xdr:rowOff>
    </xdr:to>
    <xdr:grpSp>
      <xdr:nvGrpSpPr>
        <xdr:cNvPr id="1439" name="Grupo 1438">
          <a:extLst>
            <a:ext uri="{FF2B5EF4-FFF2-40B4-BE49-F238E27FC236}">
              <a16:creationId xmlns:a16="http://schemas.microsoft.com/office/drawing/2014/main" id="{456F4DCB-2470-5B29-B941-AD2CC48FCC5F}"/>
            </a:ext>
          </a:extLst>
        </xdr:cNvPr>
        <xdr:cNvGrpSpPr/>
      </xdr:nvGrpSpPr>
      <xdr:grpSpPr>
        <a:xfrm>
          <a:off x="2789328" y="56963"/>
          <a:ext cx="1061222" cy="761628"/>
          <a:chOff x="2377104" y="56963"/>
          <a:chExt cx="1061222" cy="761628"/>
        </a:xfrm>
      </xdr:grpSpPr>
      <xdr:sp macro="[0]!IngresoNotas" textlink="">
        <xdr:nvSpPr>
          <xdr:cNvPr id="1353" name="Elipse 1352">
            <a:extLst>
              <a:ext uri="{FF2B5EF4-FFF2-40B4-BE49-F238E27FC236}">
                <a16:creationId xmlns:a16="http://schemas.microsoft.com/office/drawing/2014/main" id="{3C932B44-CA5C-AEA6-B343-750AF329623B}"/>
              </a:ext>
            </a:extLst>
          </xdr:cNvPr>
          <xdr:cNvSpPr/>
        </xdr:nvSpPr>
        <xdr:spPr>
          <a:xfrm>
            <a:off x="2695358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IngresoNotas" textlink="">
        <xdr:nvSpPr>
          <xdr:cNvPr id="1354" name="CuadroTexto 32">
            <a:extLst>
              <a:ext uri="{FF2B5EF4-FFF2-40B4-BE49-F238E27FC236}">
                <a16:creationId xmlns:a16="http://schemas.microsoft.com/office/drawing/2014/main" id="{8CD9B548-A1FA-2ABD-4E38-3386D9607BFC}"/>
              </a:ext>
            </a:extLst>
          </xdr:cNvPr>
          <xdr:cNvSpPr txBox="1"/>
        </xdr:nvSpPr>
        <xdr:spPr>
          <a:xfrm>
            <a:off x="2377104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</a:t>
            </a:r>
            <a:r>
              <a:rPr lang="es-CO" sz="7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Notas</a:t>
            </a:r>
            <a:endParaRPr lang="es-CO" sz="7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IngresoNotas">
        <xdr:nvPicPr>
          <xdr:cNvPr id="1355" name="Gráfico 537" descr="Portapapeles con relleno sólido">
            <a:extLst>
              <a:ext uri="{FF2B5EF4-FFF2-40B4-BE49-F238E27FC236}">
                <a16:creationId xmlns:a16="http://schemas.microsoft.com/office/drawing/2014/main" id="{5BFE620E-3D59-8B3F-0339-012622AAB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820769" y="475457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9</xdr:col>
      <xdr:colOff>510227</xdr:colOff>
      <xdr:row>0</xdr:row>
      <xdr:rowOff>56963</xdr:rowOff>
    </xdr:from>
    <xdr:to>
      <xdr:col>11</xdr:col>
      <xdr:colOff>299729</xdr:colOff>
      <xdr:row>0</xdr:row>
      <xdr:rowOff>818591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99F7BD6C-1874-B4DC-9613-95A987351A16}"/>
            </a:ext>
          </a:extLst>
        </xdr:cNvPr>
        <xdr:cNvGrpSpPr/>
      </xdr:nvGrpSpPr>
      <xdr:grpSpPr>
        <a:xfrm>
          <a:off x="7918192" y="56963"/>
          <a:ext cx="982198" cy="761628"/>
          <a:chOff x="7808545" y="56963"/>
          <a:chExt cx="1061222" cy="761628"/>
        </a:xfrm>
      </xdr:grpSpPr>
      <xdr:sp macro="[0]!Reiniciar" textlink="">
        <xdr:nvSpPr>
          <xdr:cNvPr id="1346" name="Elipse 1345">
            <a:extLst>
              <a:ext uri="{FF2B5EF4-FFF2-40B4-BE49-F238E27FC236}">
                <a16:creationId xmlns:a16="http://schemas.microsoft.com/office/drawing/2014/main" id="{52B8EF08-4C54-9823-CEF3-926C8E99EEEC}"/>
              </a:ext>
            </a:extLst>
          </xdr:cNvPr>
          <xdr:cNvSpPr/>
        </xdr:nvSpPr>
        <xdr:spPr>
          <a:xfrm>
            <a:off x="8126799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Reiniciar" textlink="">
        <xdr:nvSpPr>
          <xdr:cNvPr id="1347" name="CuadroTexto 32">
            <a:extLst>
              <a:ext uri="{FF2B5EF4-FFF2-40B4-BE49-F238E27FC236}">
                <a16:creationId xmlns:a16="http://schemas.microsoft.com/office/drawing/2014/main" id="{223ACE70-7275-0CD2-44E4-4AE041EA4AF8}"/>
              </a:ext>
            </a:extLst>
          </xdr:cNvPr>
          <xdr:cNvSpPr txBox="1"/>
        </xdr:nvSpPr>
        <xdr:spPr>
          <a:xfrm>
            <a:off x="7808545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Reiniciar</a:t>
            </a:r>
          </a:p>
        </xdr:txBody>
      </xdr:sp>
      <xdr:pic macro="[0]!Reiniciar">
        <xdr:nvPicPr>
          <xdr:cNvPr id="1348" name="Gráfico 534" descr="Potencia con relleno sólido">
            <a:extLst>
              <a:ext uri="{FF2B5EF4-FFF2-40B4-BE49-F238E27FC236}">
                <a16:creationId xmlns:a16="http://schemas.microsoft.com/office/drawing/2014/main" id="{FA2D6C39-FFEA-FB63-7147-D0D0831669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8252210" y="473259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8</xdr:col>
      <xdr:colOff>789845</xdr:colOff>
      <xdr:row>0</xdr:row>
      <xdr:rowOff>56963</xdr:rowOff>
    </xdr:from>
    <xdr:to>
      <xdr:col>9</xdr:col>
      <xdr:colOff>213588</xdr:colOff>
      <xdr:row>0</xdr:row>
      <xdr:rowOff>818591</xdr:rowOff>
    </xdr:to>
    <xdr:grpSp>
      <xdr:nvGrpSpPr>
        <xdr:cNvPr id="1338" name="Grupo 1337">
          <a:extLst>
            <a:ext uri="{FF2B5EF4-FFF2-40B4-BE49-F238E27FC236}">
              <a16:creationId xmlns:a16="http://schemas.microsoft.com/office/drawing/2014/main" id="{A37AB3A8-B55B-8EEC-0CB1-F7C4C6F81D4E}"/>
            </a:ext>
          </a:extLst>
        </xdr:cNvPr>
        <xdr:cNvGrpSpPr/>
      </xdr:nvGrpSpPr>
      <xdr:grpSpPr>
        <a:xfrm>
          <a:off x="6660558" y="56963"/>
          <a:ext cx="960995" cy="761628"/>
          <a:chOff x="7334582" y="3075466"/>
          <a:chExt cx="1061222" cy="761628"/>
        </a:xfrm>
      </xdr:grpSpPr>
      <xdr:sp macro="[0]!GuardarPDF" textlink="">
        <xdr:nvSpPr>
          <xdr:cNvPr id="1343" name="Elipse 1342">
            <a:extLst>
              <a:ext uri="{FF2B5EF4-FFF2-40B4-BE49-F238E27FC236}">
                <a16:creationId xmlns:a16="http://schemas.microsoft.com/office/drawing/2014/main" id="{BDCBFAD2-85C2-18F9-5BEC-3796FC704BCB}"/>
              </a:ext>
            </a:extLst>
          </xdr:cNvPr>
          <xdr:cNvSpPr/>
        </xdr:nvSpPr>
        <xdr:spPr>
          <a:xfrm>
            <a:off x="7652836" y="3370274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GuardarPDF" textlink="">
        <xdr:nvSpPr>
          <xdr:cNvPr id="1344" name="CuadroTexto 32">
            <a:extLst>
              <a:ext uri="{FF2B5EF4-FFF2-40B4-BE49-F238E27FC236}">
                <a16:creationId xmlns:a16="http://schemas.microsoft.com/office/drawing/2014/main" id="{C75D690D-7FBC-98DD-9EB5-F89DA67D47AE}"/>
              </a:ext>
            </a:extLst>
          </xdr:cNvPr>
          <xdr:cNvSpPr txBox="1"/>
        </xdr:nvSpPr>
        <xdr:spPr>
          <a:xfrm>
            <a:off x="7334582" y="3075466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Guardar PDF</a:t>
            </a:r>
          </a:p>
        </xdr:txBody>
      </xdr:sp>
      <xdr:pic macro="[0]!GuardarPDF">
        <xdr:nvPicPr>
          <xdr:cNvPr id="1345" name="Gráfico 535" descr="Clip con relleno sólido">
            <a:extLst>
              <a:ext uri="{FF2B5EF4-FFF2-40B4-BE49-F238E27FC236}">
                <a16:creationId xmlns:a16="http://schemas.microsoft.com/office/drawing/2014/main" id="{74CD39B0-C864-83F3-93E4-F0855E846E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7778247" y="3508643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5</xdr:col>
      <xdr:colOff>1480664</xdr:colOff>
      <xdr:row>0</xdr:row>
      <xdr:rowOff>56963</xdr:rowOff>
    </xdr:from>
    <xdr:to>
      <xdr:col>7</xdr:col>
      <xdr:colOff>217903</xdr:colOff>
      <xdr:row>0</xdr:row>
      <xdr:rowOff>818591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6FC03251-F37E-69E3-0C6D-FE2D44699A0E}"/>
            </a:ext>
          </a:extLst>
        </xdr:cNvPr>
        <xdr:cNvGrpSpPr/>
      </xdr:nvGrpSpPr>
      <xdr:grpSpPr>
        <a:xfrm>
          <a:off x="4177481" y="56963"/>
          <a:ext cx="917222" cy="761628"/>
          <a:chOff x="3765257" y="56963"/>
          <a:chExt cx="1061222" cy="761628"/>
        </a:xfrm>
      </xdr:grpSpPr>
      <xdr:sp macro="[0]!IngresoFirmas" textlink="">
        <xdr:nvSpPr>
          <xdr:cNvPr id="1386" name="Elipse 1385">
            <a:extLst>
              <a:ext uri="{FF2B5EF4-FFF2-40B4-BE49-F238E27FC236}">
                <a16:creationId xmlns:a16="http://schemas.microsoft.com/office/drawing/2014/main" id="{861959DD-6652-8DD1-9247-B47B1786DAA1}"/>
              </a:ext>
            </a:extLst>
          </xdr:cNvPr>
          <xdr:cNvSpPr/>
        </xdr:nvSpPr>
        <xdr:spPr>
          <a:xfrm>
            <a:off x="4061003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IngresoFirmas" textlink="">
        <xdr:nvSpPr>
          <xdr:cNvPr id="1387" name="CuadroTexto 32">
            <a:extLst>
              <a:ext uri="{FF2B5EF4-FFF2-40B4-BE49-F238E27FC236}">
                <a16:creationId xmlns:a16="http://schemas.microsoft.com/office/drawing/2014/main" id="{40CC3799-3FC7-5B69-B71C-B97B0DF7A090}"/>
              </a:ext>
            </a:extLst>
          </xdr:cNvPr>
          <xdr:cNvSpPr txBox="1"/>
        </xdr:nvSpPr>
        <xdr:spPr>
          <a:xfrm>
            <a:off x="3765257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 firmas</a:t>
            </a:r>
          </a:p>
        </xdr:txBody>
      </xdr:sp>
      <xdr:pic macro="[0]!IngresoFirmas">
        <xdr:nvPicPr>
          <xdr:cNvPr id="1389" name="Gráfico 536" descr="Firma con relleno sólido">
            <a:extLst>
              <a:ext uri="{FF2B5EF4-FFF2-40B4-BE49-F238E27FC236}">
                <a16:creationId xmlns:a16="http://schemas.microsoft.com/office/drawing/2014/main" id="{D525B593-9C37-D25C-C71E-D42C9F4BF3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176033" y="462112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</xdr:col>
      <xdr:colOff>6361</xdr:colOff>
      <xdr:row>1</xdr:row>
      <xdr:rowOff>6359</xdr:rowOff>
    </xdr:from>
    <xdr:to>
      <xdr:col>13</xdr:col>
      <xdr:colOff>0</xdr:colOff>
      <xdr:row>41</xdr:row>
      <xdr:rowOff>150484</xdr:rowOff>
    </xdr:to>
    <xdr:sp macro="" textlink="">
      <xdr:nvSpPr>
        <xdr:cNvPr id="1400" name="Rectángulo 1399">
          <a:extLst>
            <a:ext uri="{FF2B5EF4-FFF2-40B4-BE49-F238E27FC236}">
              <a16:creationId xmlns:a16="http://schemas.microsoft.com/office/drawing/2014/main" id="{97802F9A-7C94-3D44-23C4-850213B6A9A7}"/>
            </a:ext>
          </a:extLst>
        </xdr:cNvPr>
        <xdr:cNvSpPr/>
      </xdr:nvSpPr>
      <xdr:spPr>
        <a:xfrm>
          <a:off x="423327" y="869553"/>
          <a:ext cx="9115694" cy="13845494"/>
        </a:xfrm>
        <a:prstGeom prst="rect">
          <a:avLst/>
        </a:prstGeom>
        <a:noFill/>
        <a:ln w="12700">
          <a:solidFill>
            <a:srgbClr val="679CE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399841</xdr:colOff>
      <xdr:row>0</xdr:row>
      <xdr:rowOff>56962</xdr:rowOff>
    </xdr:from>
    <xdr:to>
      <xdr:col>8</xdr:col>
      <xdr:colOff>579588</xdr:colOff>
      <xdr:row>0</xdr:row>
      <xdr:rowOff>818591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8D9B797-A352-C13E-06F7-0070A9DBD6C9}"/>
            </a:ext>
          </a:extLst>
        </xdr:cNvPr>
        <xdr:cNvGrpSpPr/>
      </xdr:nvGrpSpPr>
      <xdr:grpSpPr>
        <a:xfrm>
          <a:off x="5276641" y="56962"/>
          <a:ext cx="1173660" cy="761629"/>
          <a:chOff x="5008417" y="56962"/>
          <a:chExt cx="1232010" cy="761629"/>
        </a:xfrm>
      </xdr:grpSpPr>
      <xdr:sp macro="[0]!Observaciones" textlink="">
        <xdr:nvSpPr>
          <xdr:cNvPr id="1340" name="CuadroTexto 32">
            <a:extLst>
              <a:ext uri="{FF2B5EF4-FFF2-40B4-BE49-F238E27FC236}">
                <a16:creationId xmlns:a16="http://schemas.microsoft.com/office/drawing/2014/main" id="{12B30C8A-B478-D190-5E50-166292F37A13}"/>
              </a:ext>
            </a:extLst>
          </xdr:cNvPr>
          <xdr:cNvSpPr txBox="1"/>
        </xdr:nvSpPr>
        <xdr:spPr>
          <a:xfrm>
            <a:off x="5008417" y="56962"/>
            <a:ext cx="1232010" cy="2363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 observaciones</a:t>
            </a:r>
          </a:p>
        </xdr:txBody>
      </xdr:sp>
      <xdr:sp macro="[0]!Observaciones" textlink="">
        <xdr:nvSpPr>
          <xdr:cNvPr id="1341" name="Elipse 1340">
            <a:extLst>
              <a:ext uri="{FF2B5EF4-FFF2-40B4-BE49-F238E27FC236}">
                <a16:creationId xmlns:a16="http://schemas.microsoft.com/office/drawing/2014/main" id="{9BC63468-D1A8-C175-027C-BD44C35D7FF6}"/>
              </a:ext>
            </a:extLst>
          </xdr:cNvPr>
          <xdr:cNvSpPr/>
        </xdr:nvSpPr>
        <xdr:spPr>
          <a:xfrm>
            <a:off x="5404916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pic macro="[0]!Observaciones">
        <xdr:nvPicPr>
          <xdr:cNvPr id="12" name="Gráfico 11" descr="Burbuja de chat con relleno sólido">
            <a:extLst>
              <a:ext uri="{FF2B5EF4-FFF2-40B4-BE49-F238E27FC236}">
                <a16:creationId xmlns:a16="http://schemas.microsoft.com/office/drawing/2014/main" id="{10B3789F-A9F4-D5A9-3172-8A12351696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5492023" y="461385"/>
            <a:ext cx="292608" cy="292608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270383</xdr:colOff>
      <xdr:row>85</xdr:row>
      <xdr:rowOff>0</xdr:rowOff>
    </xdr:from>
    <xdr:to>
      <xdr:col>5</xdr:col>
      <xdr:colOff>1124076</xdr:colOff>
      <xdr:row>89</xdr:row>
      <xdr:rowOff>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4A7CB84-9EC3-26D5-47BD-B24885E4D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2967863" y="15613380"/>
          <a:ext cx="853693" cy="609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320040</xdr:colOff>
          <xdr:row>3</xdr:row>
          <xdr:rowOff>175260</xdr:rowOff>
        </xdr:from>
        <xdr:to>
          <xdr:col>11</xdr:col>
          <xdr:colOff>167640</xdr:colOff>
          <xdr:row>7</xdr:row>
          <xdr:rowOff>53340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662026</xdr:colOff>
      <xdr:row>0</xdr:row>
      <xdr:rowOff>0</xdr:rowOff>
    </xdr:from>
    <xdr:to>
      <xdr:col>18</xdr:col>
      <xdr:colOff>590578</xdr:colOff>
      <xdr:row>47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95D6CD1-AB92-4ED9-91B4-CFD0663D6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8272" y="0"/>
          <a:ext cx="6424450" cy="8983066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66D67-BE98-413A-912C-069611CCC4E6}">
  <sheetPr codeName="Hoja1">
    <pageSetUpPr autoPageBreaks="0" fitToPage="1"/>
  </sheetPr>
  <dimension ref="A1:O91"/>
  <sheetViews>
    <sheetView showGridLines="0" tabSelected="1" showRuler="0" zoomScale="115" zoomScaleNormal="115" zoomScaleSheetLayoutView="100" workbookViewId="0">
      <pane ySplit="1" topLeftCell="A2" activePane="bottomLeft" state="frozen"/>
      <selection pane="bottomLeft" activeCell="O2" sqref="O2"/>
    </sheetView>
  </sheetViews>
  <sheetFormatPr baseColWidth="10" defaultColWidth="11.109375" defaultRowHeight="12" x14ac:dyDescent="0.3"/>
  <cols>
    <col min="1" max="1" width="13.33203125" style="77" customWidth="1"/>
    <col min="2" max="2" width="4.44140625" style="58" customWidth="1"/>
    <col min="3" max="3" width="3.44140625" style="59" customWidth="1"/>
    <col min="4" max="4" width="6.6640625" style="100" customWidth="1"/>
    <col min="5" max="5" width="11.44140625" style="60" customWidth="1"/>
    <col min="6" max="6" width="25.109375" style="60" customWidth="1"/>
    <col min="7" max="7" width="6.6640625" style="58" customWidth="1"/>
    <col min="8" max="8" width="14.44140625" style="60" customWidth="1"/>
    <col min="9" max="9" width="22.44140625" style="60" customWidth="1"/>
    <col min="10" max="10" width="8.6640625" style="61" customWidth="1"/>
    <col min="11" max="12" width="8.6640625" style="58" customWidth="1"/>
    <col min="13" max="13" width="4.44140625" style="58" customWidth="1"/>
    <col min="14" max="14" width="5.44140625" style="58" customWidth="1"/>
    <col min="15" max="16384" width="11.109375" style="58"/>
  </cols>
  <sheetData>
    <row r="1" spans="2:15" ht="73.2" customHeight="1" x14ac:dyDescent="0.3"/>
    <row r="2" spans="2:15" ht="25.95" customHeight="1" x14ac:dyDescent="0.3">
      <c r="B2" s="66"/>
      <c r="C2" s="62"/>
      <c r="D2" s="101"/>
      <c r="E2" s="64"/>
      <c r="F2" s="64"/>
      <c r="G2" s="63"/>
      <c r="H2" s="64"/>
      <c r="I2" s="64"/>
      <c r="J2" s="65"/>
      <c r="K2" s="63"/>
      <c r="L2" s="63"/>
      <c r="M2" s="68"/>
      <c r="O2" s="115"/>
    </row>
    <row r="3" spans="2:15" ht="12.3" customHeight="1" x14ac:dyDescent="0.3">
      <c r="B3" s="67"/>
      <c r="C3" s="161" t="s">
        <v>0</v>
      </c>
      <c r="D3" s="162"/>
      <c r="E3" s="145" t="s">
        <v>1</v>
      </c>
      <c r="F3" s="146"/>
      <c r="G3" s="146"/>
      <c r="H3" s="146"/>
      <c r="I3" s="147"/>
      <c r="J3" s="141" t="s">
        <v>2</v>
      </c>
      <c r="K3" s="141"/>
      <c r="L3" s="141"/>
      <c r="M3" s="69"/>
    </row>
    <row r="4" spans="2:15" ht="12.3" customHeight="1" x14ac:dyDescent="0.3">
      <c r="B4" s="67"/>
      <c r="C4" s="163"/>
      <c r="D4" s="164"/>
      <c r="E4" s="148"/>
      <c r="F4" s="149"/>
      <c r="G4" s="149"/>
      <c r="H4" s="149"/>
      <c r="I4" s="150"/>
      <c r="J4" s="142"/>
      <c r="K4" s="142"/>
      <c r="L4" s="142"/>
      <c r="M4" s="69"/>
    </row>
    <row r="5" spans="2:15" ht="12.3" customHeight="1" x14ac:dyDescent="0.3">
      <c r="B5" s="67"/>
      <c r="C5" s="163"/>
      <c r="D5" s="164"/>
      <c r="E5" s="151" t="s">
        <v>3</v>
      </c>
      <c r="F5" s="152"/>
      <c r="G5" s="152"/>
      <c r="H5" s="152"/>
      <c r="I5" s="153"/>
      <c r="J5" s="171" t="s">
        <v>22</v>
      </c>
      <c r="K5" s="172"/>
      <c r="L5" s="169" t="s">
        <v>4</v>
      </c>
      <c r="M5" s="69"/>
    </row>
    <row r="6" spans="2:15" ht="12.3" customHeight="1" x14ac:dyDescent="0.3">
      <c r="B6" s="67"/>
      <c r="C6" s="165"/>
      <c r="D6" s="166"/>
      <c r="E6" s="154" t="s">
        <v>5</v>
      </c>
      <c r="F6" s="155"/>
      <c r="G6" s="155"/>
      <c r="H6" s="155"/>
      <c r="I6" s="156"/>
      <c r="J6" s="173"/>
      <c r="K6" s="174"/>
      <c r="L6" s="170"/>
      <c r="M6" s="69"/>
    </row>
    <row r="7" spans="2:15" ht="15" customHeight="1" x14ac:dyDescent="0.3">
      <c r="B7" s="67"/>
      <c r="C7" s="6"/>
      <c r="D7" s="102"/>
      <c r="E7" s="2"/>
      <c r="F7" s="2"/>
      <c r="G7" s="2"/>
      <c r="H7" s="2"/>
      <c r="I7" s="2"/>
      <c r="J7" s="42"/>
      <c r="K7" s="2"/>
      <c r="L7" s="2"/>
      <c r="M7" s="69"/>
    </row>
    <row r="8" spans="2:15" ht="18.45" customHeight="1" x14ac:dyDescent="0.3">
      <c r="B8" s="67"/>
      <c r="C8" s="159" t="s">
        <v>6</v>
      </c>
      <c r="D8" s="160"/>
      <c r="E8" s="160"/>
      <c r="F8" s="157" t="str">
        <f>Notas!B4&amp;" "&amp;Notas!B3</f>
        <v xml:space="preserve"> </v>
      </c>
      <c r="G8" s="157"/>
      <c r="H8" s="157"/>
      <c r="I8" s="158"/>
      <c r="J8" s="144" t="s">
        <v>7</v>
      </c>
      <c r="K8" s="144"/>
      <c r="L8" s="41">
        <f ca="1">TODAY()</f>
        <v>45986</v>
      </c>
      <c r="M8" s="69"/>
    </row>
    <row r="9" spans="2:15" ht="18.45" customHeight="1" x14ac:dyDescent="0.3">
      <c r="B9" s="67"/>
      <c r="C9" s="167" t="s">
        <v>8</v>
      </c>
      <c r="D9" s="168"/>
      <c r="E9" s="168"/>
      <c r="F9" s="137" t="s">
        <v>27</v>
      </c>
      <c r="G9" s="137"/>
      <c r="H9" s="137"/>
      <c r="I9" s="138"/>
      <c r="J9" s="143" t="s">
        <v>9</v>
      </c>
      <c r="K9" s="143"/>
      <c r="L9" s="25" t="str">
        <f>LEFT(Notas!A9,8)</f>
        <v/>
      </c>
      <c r="M9" s="69"/>
    </row>
    <row r="10" spans="2:15" ht="15" customHeight="1" x14ac:dyDescent="0.3">
      <c r="B10" s="67"/>
      <c r="C10" s="6"/>
      <c r="D10" s="103"/>
      <c r="E10" s="28"/>
      <c r="F10" s="28"/>
      <c r="G10" s="26"/>
      <c r="H10" s="43"/>
      <c r="I10" s="28"/>
      <c r="J10" s="27"/>
      <c r="K10" s="26"/>
      <c r="L10" s="26"/>
      <c r="M10" s="69"/>
    </row>
    <row r="11" spans="2:15" ht="18" customHeight="1" x14ac:dyDescent="0.3">
      <c r="B11" s="67"/>
      <c r="C11" s="175" t="s">
        <v>10</v>
      </c>
      <c r="D11" s="176"/>
      <c r="E11" s="139" t="s">
        <v>24</v>
      </c>
      <c r="F11" s="140"/>
      <c r="G11" s="22" t="s">
        <v>10</v>
      </c>
      <c r="H11" s="139" t="s">
        <v>11</v>
      </c>
      <c r="I11" s="140"/>
      <c r="J11" s="24" t="s">
        <v>12</v>
      </c>
      <c r="K11" s="23" t="s">
        <v>13</v>
      </c>
      <c r="L11" s="23" t="s">
        <v>14</v>
      </c>
      <c r="M11" s="69"/>
    </row>
    <row r="12" spans="2:15" ht="17.850000000000001" customHeight="1" x14ac:dyDescent="0.3">
      <c r="B12" s="67"/>
      <c r="C12" s="116" t="s">
        <v>55</v>
      </c>
      <c r="D12" s="110" t="s">
        <v>28</v>
      </c>
      <c r="E12" s="83" t="s">
        <v>43</v>
      </c>
      <c r="F12" s="84"/>
      <c r="G12" s="33" t="str">
        <f>IF($L$9="","",IFERROR(VLOOKUP(IFERROR(VLOOKUP(D12,Notas!B:B,1,FALSE),VLOOKUP(D12,Equivalencia!A:F,5,FALSE)),Notas!B:B,1,FALSE),VLOOKUP(D12,Equivalencia!A:H,8,FALSE)))</f>
        <v/>
      </c>
      <c r="H12" s="81" t="str">
        <f>IFERROR(IF($L$9="","",IFERROR(IFERROR(VLOOKUP(G12,Equivalencia!A:B,2,FALSE),VLOOKUP(G12,Equivalencia!E:F,2,FALSE)),VLOOKUP(G12,Equivalencia!H:I,2,FALSE))),"")</f>
        <v/>
      </c>
      <c r="I12" s="84"/>
      <c r="J12" s="34">
        <v>1</v>
      </c>
      <c r="K12" s="35" t="str">
        <f>IFERROR(VLOOKUP(G12,Notas!B:K,8,FALSE)/1000,"")</f>
        <v/>
      </c>
      <c r="L12" s="36" t="str">
        <f>IFERROR(IF(VLOOKUP(G12,Notas!B:K,9,FALSE)=".000","",VLOOKUP(G12,Notas!B:K,9,FALSE)/1000),"")</f>
        <v/>
      </c>
      <c r="M12" s="69"/>
    </row>
    <row r="13" spans="2:15" ht="17.850000000000001" customHeight="1" x14ac:dyDescent="0.3">
      <c r="B13" s="67"/>
      <c r="C13" s="116"/>
      <c r="D13" s="111" t="s">
        <v>29</v>
      </c>
      <c r="E13" s="81" t="s">
        <v>44</v>
      </c>
      <c r="F13" s="82"/>
      <c r="G13" s="37" t="str">
        <f>IF($L$9="","",IFERROR(VLOOKUP(IFERROR(VLOOKUP(D13,Notas!B:B,1,FALSE),VLOOKUP(D13,Equivalencia!A:F,5,FALSE)),Notas!B:B,1,FALSE),VLOOKUP(D13,Equivalencia!A:H,8,FALSE)))</f>
        <v/>
      </c>
      <c r="H13" s="81" t="str">
        <f>IFERROR(IF($L$9="","",IFERROR(IFERROR(VLOOKUP(G13,Equivalencia!A:B,2,FALSE),VLOOKUP(G13,Equivalencia!E:F,2,FALSE)),VLOOKUP(G13,Equivalencia!H:I,2,FALSE))),"")</f>
        <v/>
      </c>
      <c r="I13" s="82"/>
      <c r="J13" s="38">
        <v>3</v>
      </c>
      <c r="K13" s="39" t="str">
        <f>IFERROR(VLOOKUP(G13,Notas!B:K,8,FALSE)/1000,"")</f>
        <v/>
      </c>
      <c r="L13" s="40" t="str">
        <f>IFERROR(IF(VLOOKUP(G13,Notas!B:K,9,FALSE)=".000","",VLOOKUP(G13,Notas!B:K,9,FALSE)/1000),"")</f>
        <v/>
      </c>
      <c r="M13" s="69"/>
    </row>
    <row r="14" spans="2:15" ht="17.850000000000001" customHeight="1" x14ac:dyDescent="0.3">
      <c r="B14" s="67"/>
      <c r="C14" s="116"/>
      <c r="D14" s="111" t="s">
        <v>30</v>
      </c>
      <c r="E14" s="81" t="s">
        <v>57</v>
      </c>
      <c r="F14" s="82"/>
      <c r="G14" s="37" t="str">
        <f>IF($L$9="","",IFERROR(VLOOKUP(IFERROR(VLOOKUP(D14,Notas!B:B,1,FALSE),VLOOKUP(D14,Equivalencia!A:F,5,FALSE)),Notas!B:B,1,FALSE),VLOOKUP(D14,Equivalencia!A:H,8,FALSE)))</f>
        <v/>
      </c>
      <c r="H14" s="81" t="str">
        <f>IFERROR(IF($L$9="","",IFERROR(IFERROR(VLOOKUP(G14,Equivalencia!A:B,2,FALSE),VLOOKUP(G14,Equivalencia!E:F,2,FALSE)),VLOOKUP(G14,Equivalencia!H:I,2,FALSE))),"")</f>
        <v/>
      </c>
      <c r="I14" s="82"/>
      <c r="J14" s="38">
        <v>2</v>
      </c>
      <c r="K14" s="39" t="str">
        <f>IFERROR(VLOOKUP(G14,Notas!B:K,8,FALSE)/1000,"")</f>
        <v/>
      </c>
      <c r="L14" s="40" t="str">
        <f>IFERROR(IF(VLOOKUP(G14,Notas!B:K,9,FALSE)=".000","",VLOOKUP(G14,Notas!B:K,9,FALSE)/1000),"")</f>
        <v/>
      </c>
      <c r="M14" s="69"/>
    </row>
    <row r="15" spans="2:15" ht="17.850000000000001" customHeight="1" x14ac:dyDescent="0.3">
      <c r="B15" s="67"/>
      <c r="C15" s="116"/>
      <c r="D15" s="111" t="s">
        <v>31</v>
      </c>
      <c r="E15" s="81" t="s">
        <v>45</v>
      </c>
      <c r="F15" s="82"/>
      <c r="G15" s="37" t="str">
        <f>IF($L$9="","",IFERROR(VLOOKUP(IFERROR(VLOOKUP(D15,Notas!B:B,1,FALSE),VLOOKUP(D15,Equivalencia!A:F,5,FALSE)),Notas!B:B,1,FALSE),VLOOKUP(D15,Equivalencia!A:H,8,FALSE)))</f>
        <v/>
      </c>
      <c r="H15" s="81" t="str">
        <f>IFERROR(IF($L$9="","",IFERROR(IFERROR(VLOOKUP(G15,Equivalencia!A:B,2,FALSE),VLOOKUP(G15,Equivalencia!E:F,2,FALSE)),VLOOKUP(G15,Equivalencia!H:I,2,FALSE))),"")</f>
        <v/>
      </c>
      <c r="I15" s="82"/>
      <c r="J15" s="38">
        <v>1</v>
      </c>
      <c r="K15" s="39" t="str">
        <f>IFERROR(VLOOKUP(G15,Notas!B:K,8,FALSE)/1000,"")</f>
        <v/>
      </c>
      <c r="L15" s="40" t="str">
        <f>IFERROR(IF(VLOOKUP(G15,Notas!B:K,9,FALSE)=".000","",VLOOKUP(G15,Notas!B:K,9,FALSE)/1000),"")</f>
        <v/>
      </c>
      <c r="M15" s="69"/>
    </row>
    <row r="16" spans="2:15" ht="17.850000000000001" customHeight="1" x14ac:dyDescent="0.3">
      <c r="B16" s="67"/>
      <c r="C16" s="116"/>
      <c r="D16" s="111" t="s">
        <v>32</v>
      </c>
      <c r="E16" s="81" t="s">
        <v>46</v>
      </c>
      <c r="F16" s="82"/>
      <c r="G16" s="37" t="str">
        <f>IF($L$9="","",IFERROR(VLOOKUP(IFERROR(VLOOKUP(D16,Notas!B:B,1,FALSE),VLOOKUP(D16,Equivalencia!A:F,5,FALSE)),Notas!B:B,1,FALSE),VLOOKUP(D16,Equivalencia!A:H,8,FALSE)))</f>
        <v/>
      </c>
      <c r="H16" s="81" t="str">
        <f>IFERROR(IF($L$9="","",IFERROR(IFERROR(VLOOKUP(G16,Equivalencia!A:B,2,FALSE),VLOOKUP(G16,Equivalencia!E:F,2,FALSE)),VLOOKUP(G16,Equivalencia!H:I,2,FALSE))),"")</f>
        <v/>
      </c>
      <c r="I16" s="114"/>
      <c r="J16" s="38">
        <v>1</v>
      </c>
      <c r="K16" s="39" t="str">
        <f>IFERROR(VLOOKUP(G16,Notas!B:K,8,FALSE)/1000,"")</f>
        <v/>
      </c>
      <c r="L16" s="40" t="str">
        <f>IFERROR(IF(VLOOKUP(G16,Notas!B:K,9,FALSE)=".000","",VLOOKUP(G16,Notas!B:K,9,FALSE)/1000),"")</f>
        <v/>
      </c>
      <c r="M16" s="69"/>
    </row>
    <row r="17" spans="2:14" ht="17.850000000000001" customHeight="1" x14ac:dyDescent="0.3">
      <c r="B17" s="67"/>
      <c r="C17" s="116"/>
      <c r="D17" s="111" t="s">
        <v>33</v>
      </c>
      <c r="E17" s="81" t="s">
        <v>47</v>
      </c>
      <c r="F17" s="82"/>
      <c r="G17" s="37" t="str">
        <f>IF($L$9="","",IFERROR(VLOOKUP(IFERROR(VLOOKUP(D17,Notas!B:B,1,FALSE),VLOOKUP(D17,Equivalencia!A:F,5,FALSE)),Notas!B:B,1,FALSE),VLOOKUP(D17,Equivalencia!A:H,8,FALSE)))</f>
        <v/>
      </c>
      <c r="H17" s="81" t="str">
        <f>IFERROR(IF($L$9="","",IFERROR(IFERROR(VLOOKUP(G17,Equivalencia!A:B,2,FALSE),VLOOKUP(G17,Equivalencia!E:F,2,FALSE)),VLOOKUP(G17,Equivalencia!H:I,2,FALSE))),"")</f>
        <v/>
      </c>
      <c r="I17" s="82"/>
      <c r="J17" s="38">
        <v>2</v>
      </c>
      <c r="K17" s="39" t="str">
        <f>IFERROR(VLOOKUP(G17,Notas!B:K,8,FALSE)/1000,"")</f>
        <v/>
      </c>
      <c r="L17" s="40" t="str">
        <f>IFERROR(IF(VLOOKUP(G17,Notas!B:K,9,FALSE)=".000","",VLOOKUP(G17,Notas!B:K,9,FALSE)/1000),"")</f>
        <v/>
      </c>
      <c r="M17" s="69"/>
    </row>
    <row r="18" spans="2:14" ht="17.850000000000001" customHeight="1" x14ac:dyDescent="0.3">
      <c r="B18" s="67"/>
      <c r="C18" s="116"/>
      <c r="D18" s="111" t="s">
        <v>34</v>
      </c>
      <c r="E18" s="81" t="s">
        <v>48</v>
      </c>
      <c r="F18" s="82"/>
      <c r="G18" s="37" t="str">
        <f>IF($L$9="","",IFERROR(VLOOKUP(IFERROR(VLOOKUP(D18,Notas!B:B,1,FALSE),VLOOKUP(D18,Equivalencia!A:F,5,FALSE)),Notas!B:B,1,FALSE),VLOOKUP(D18,Equivalencia!A:H,8,FALSE)))</f>
        <v/>
      </c>
      <c r="H18" s="81" t="str">
        <f>IFERROR(IF($L$9="","",IFERROR(IFERROR(VLOOKUP(G18,Equivalencia!A:B,2,FALSE),VLOOKUP(G18,Equivalencia!E:F,2,FALSE)),VLOOKUP(G18,Equivalencia!H:I,2,FALSE))),"")</f>
        <v/>
      </c>
      <c r="I18" s="82"/>
      <c r="J18" s="38">
        <v>1</v>
      </c>
      <c r="K18" s="39" t="str">
        <f>IFERROR(VLOOKUP(G18,Notas!B:K,8,FALSE)/1000,"")</f>
        <v/>
      </c>
      <c r="L18" s="40" t="str">
        <f>IFERROR(IF(VLOOKUP(G18,Notas!B:K,9,FALSE)=".000","",VLOOKUP(G18,Notas!B:K,9,FALSE)/1000),"")</f>
        <v/>
      </c>
      <c r="M18" s="69"/>
    </row>
    <row r="19" spans="2:14" ht="17.850000000000001" customHeight="1" x14ac:dyDescent="0.3">
      <c r="B19" s="67"/>
      <c r="C19" s="116"/>
      <c r="D19" s="112" t="s">
        <v>35</v>
      </c>
      <c r="E19" s="94" t="s">
        <v>58</v>
      </c>
      <c r="F19" s="95"/>
      <c r="G19" s="96" t="str">
        <f>IF($L$9="","",IFERROR(VLOOKUP(IFERROR(VLOOKUP(D19,Notas!B:B,1,FALSE),VLOOKUP(D19,Equivalencia!A:F,5,FALSE)),Notas!B:B,1,FALSE),VLOOKUP(D19,Equivalencia!A:H,8,FALSE)))</f>
        <v/>
      </c>
      <c r="H19" s="94" t="str">
        <f>IFERROR(IF($L$9="","",IFERROR(IFERROR(VLOOKUP(G19,Equivalencia!A:B,2,FALSE),VLOOKUP(G19,Equivalencia!E:F,2,FALSE)),VLOOKUP(G19,Equivalencia!H:I,2,FALSE))),"")</f>
        <v/>
      </c>
      <c r="I19" s="95"/>
      <c r="J19" s="97">
        <v>1</v>
      </c>
      <c r="K19" s="98" t="str">
        <f>IFERROR(VLOOKUP(G19,Notas!B:K,8,FALSE)/1000,"")</f>
        <v/>
      </c>
      <c r="L19" s="99" t="str">
        <f>IFERROR(IF(VLOOKUP(G19,Notas!B:K,9,FALSE)=".000","",VLOOKUP(G19,Notas!B:K,9,FALSE)/1000),"")</f>
        <v/>
      </c>
      <c r="M19" s="69"/>
    </row>
    <row r="20" spans="2:14" ht="17.850000000000001" customHeight="1" x14ac:dyDescent="0.3">
      <c r="B20" s="67"/>
      <c r="C20" s="117" t="s">
        <v>56</v>
      </c>
      <c r="D20" s="113" t="s">
        <v>36</v>
      </c>
      <c r="E20" s="89" t="s">
        <v>59</v>
      </c>
      <c r="F20" s="90"/>
      <c r="G20" s="88" t="str">
        <f>IF($L$9="","",IFERROR(VLOOKUP(IFERROR(VLOOKUP(D20,Notas!B:B,1,FALSE),VLOOKUP(D20,Equivalencia!A:F,5,FALSE)),Notas!B:B,1,FALSE),VLOOKUP(D20,Equivalencia!A:H,8,FALSE)))</f>
        <v/>
      </c>
      <c r="H20" s="89" t="str">
        <f>IFERROR(IF($L$9="","",IFERROR(IFERROR(VLOOKUP(G20,Equivalencia!A:B,2,FALSE),VLOOKUP(G20,Equivalencia!E:F,2,FALSE)),VLOOKUP(G20,Equivalencia!H:I,2,FALSE))),"")</f>
        <v/>
      </c>
      <c r="I20" s="90"/>
      <c r="J20" s="91">
        <v>2</v>
      </c>
      <c r="K20" s="92" t="str">
        <f>IFERROR(VLOOKUP(G20,Notas!B:K,8,FALSE)/1000,"")</f>
        <v/>
      </c>
      <c r="L20" s="93" t="str">
        <f>IFERROR(IF(VLOOKUP(G20,Notas!B:K,9,FALSE)=".000","",VLOOKUP(G20,Notas!B:K,9,FALSE)/1000),"")</f>
        <v/>
      </c>
      <c r="M20" s="69"/>
    </row>
    <row r="21" spans="2:14" ht="17.850000000000001" customHeight="1" x14ac:dyDescent="0.3">
      <c r="B21" s="67"/>
      <c r="C21" s="116"/>
      <c r="D21" s="111" t="s">
        <v>37</v>
      </c>
      <c r="E21" s="81" t="s">
        <v>49</v>
      </c>
      <c r="F21" s="82"/>
      <c r="G21" s="37" t="str">
        <f>IF($L$9="","",IFERROR(VLOOKUP(IFERROR(VLOOKUP(D21,Notas!B:B,1,FALSE),VLOOKUP(D21,Equivalencia!A:F,5,FALSE)),Notas!B:B,1,FALSE),VLOOKUP(D21,Equivalencia!A:H,8,FALSE)))</f>
        <v/>
      </c>
      <c r="H21" s="81" t="str">
        <f>IFERROR(IF($L$9="","",IFERROR(IFERROR(VLOOKUP(G21,Equivalencia!A:B,2,FALSE),VLOOKUP(G21,Equivalencia!E:F,2,FALSE)),VLOOKUP(G21,Equivalencia!H:I,2,FALSE))),"")</f>
        <v/>
      </c>
      <c r="I21" s="82"/>
      <c r="J21" s="38">
        <v>2</v>
      </c>
      <c r="K21" s="39" t="str">
        <f>IFERROR(VLOOKUP(G21,Notas!B:K,8,FALSE)/1000,"")</f>
        <v/>
      </c>
      <c r="L21" s="40" t="str">
        <f>IFERROR(IF(VLOOKUP(G21,Notas!B:K,9,FALSE)=".000","",VLOOKUP(G21,Notas!B:K,9,FALSE)/1000),"")</f>
        <v/>
      </c>
      <c r="M21" s="69"/>
    </row>
    <row r="22" spans="2:14" ht="17.850000000000001" customHeight="1" x14ac:dyDescent="0.3">
      <c r="B22" s="67"/>
      <c r="C22" s="116"/>
      <c r="D22" s="111" t="s">
        <v>38</v>
      </c>
      <c r="E22" s="81" t="s">
        <v>50</v>
      </c>
      <c r="F22" s="82"/>
      <c r="G22" s="37" t="str">
        <f>IF($L$9="","",IFERROR(VLOOKUP(IFERROR(VLOOKUP(D22,Notas!B:B,1,FALSE),VLOOKUP(D22,Equivalencia!A:F,5,FALSE)),Notas!B:B,1,FALSE),VLOOKUP(D22,Equivalencia!A:H,8,FALSE)))</f>
        <v/>
      </c>
      <c r="H22" s="81" t="str">
        <f>IFERROR(IF($L$9="","",IFERROR(IFERROR(VLOOKUP(G22,Equivalencia!A:B,2,FALSE),VLOOKUP(G22,Equivalencia!E:F,2,FALSE)),VLOOKUP(G22,Equivalencia!H:I,2,FALSE))),"")</f>
        <v/>
      </c>
      <c r="I22" s="82"/>
      <c r="J22" s="38">
        <v>3</v>
      </c>
      <c r="K22" s="39" t="str">
        <f>IFERROR(VLOOKUP(G22,Notas!B:K,8,FALSE)/1000,"")</f>
        <v/>
      </c>
      <c r="L22" s="40" t="str">
        <f>IFERROR(IF(VLOOKUP(G22,Notas!B:K,9,FALSE)=".000","",VLOOKUP(G22,Notas!B:K,9,FALSE)/1000),"")</f>
        <v/>
      </c>
      <c r="M22" s="69"/>
    </row>
    <row r="23" spans="2:14" ht="17.850000000000001" customHeight="1" x14ac:dyDescent="0.3">
      <c r="B23" s="67"/>
      <c r="C23" s="116"/>
      <c r="D23" s="111" t="s">
        <v>39</v>
      </c>
      <c r="E23" s="81" t="s">
        <v>51</v>
      </c>
      <c r="F23" s="82"/>
      <c r="G23" s="37" t="str">
        <f>IF($L$9="","",IFERROR(VLOOKUP(IFERROR(VLOOKUP(D23,Notas!B:B,1,FALSE),VLOOKUP(D23,Equivalencia!A:F,5,FALSE)),Notas!B:B,1,FALSE),VLOOKUP(D23,Equivalencia!A:H,8,FALSE)))</f>
        <v/>
      </c>
      <c r="H23" s="81" t="str">
        <f>IFERROR(IF($L$9="","",IFERROR(IFERROR(VLOOKUP(G23,Equivalencia!A:B,2,FALSE),VLOOKUP(G23,Equivalencia!E:F,2,FALSE)),VLOOKUP(G23,Equivalencia!H:I,2,FALSE))),"")</f>
        <v/>
      </c>
      <c r="I23" s="82"/>
      <c r="J23" s="38">
        <v>3</v>
      </c>
      <c r="K23" s="39" t="str">
        <f>IFERROR(VLOOKUP(G23,Notas!B:K,8,FALSE)/1000,"")</f>
        <v/>
      </c>
      <c r="L23" s="40" t="str">
        <f>IFERROR(IF(VLOOKUP(G23,Notas!B:K,9,FALSE)=".000","",VLOOKUP(G23,Notas!B:K,9,FALSE)/1000),"")</f>
        <v/>
      </c>
      <c r="M23" s="69"/>
    </row>
    <row r="24" spans="2:14" ht="17.850000000000001" customHeight="1" x14ac:dyDescent="0.3">
      <c r="B24" s="67"/>
      <c r="C24" s="116"/>
      <c r="D24" s="111" t="s">
        <v>40</v>
      </c>
      <c r="E24" s="81" t="s">
        <v>52</v>
      </c>
      <c r="F24" s="82"/>
      <c r="G24" s="37" t="str">
        <f>IF($L$9="","",IFERROR(VLOOKUP(IFERROR(VLOOKUP(D24,Notas!B:B,1,FALSE),VLOOKUP(D24,Equivalencia!A:F,5,FALSE)),Notas!B:B,1,FALSE),VLOOKUP(D24,Equivalencia!A:H,8,FALSE)))</f>
        <v/>
      </c>
      <c r="H24" s="81" t="str">
        <f>IFERROR(IF($L$9="","",IFERROR(IFERROR(VLOOKUP(G24,Equivalencia!A:B,2,FALSE),VLOOKUP(G24,Equivalencia!E:F,2,FALSE)),VLOOKUP(G24,Equivalencia!H:I,2,FALSE))),"")</f>
        <v/>
      </c>
      <c r="I24" s="82"/>
      <c r="J24" s="38">
        <v>3</v>
      </c>
      <c r="K24" s="39" t="str">
        <f>IFERROR(VLOOKUP(G24,Notas!B:K,8,FALSE)/1000,"")</f>
        <v/>
      </c>
      <c r="L24" s="40" t="str">
        <f>IFERROR(IF(VLOOKUP(G24,Notas!B:K,9,FALSE)=".000","",VLOOKUP(G24,Notas!B:K,9,FALSE)/1000),"")</f>
        <v/>
      </c>
      <c r="M24" s="69"/>
    </row>
    <row r="25" spans="2:14" ht="17.850000000000001" customHeight="1" x14ac:dyDescent="0.3">
      <c r="B25" s="67"/>
      <c r="C25" s="116"/>
      <c r="D25" s="111" t="s">
        <v>41</v>
      </c>
      <c r="E25" s="81" t="s">
        <v>53</v>
      </c>
      <c r="F25" s="82"/>
      <c r="G25" s="37" t="str">
        <f>IF($L$9="","",IFERROR(VLOOKUP(IFERROR(VLOOKUP(D25,Notas!B:B,1,FALSE),VLOOKUP(D25,Equivalencia!A:F,5,FALSE)),Notas!B:B,1,FALSE),VLOOKUP(D25,Equivalencia!A:H,8,FALSE)))</f>
        <v/>
      </c>
      <c r="H25" s="81" t="str">
        <f>IFERROR(IF($L$9="","",IFERROR(IFERROR(VLOOKUP(G25,Equivalencia!A:B,2,FALSE),VLOOKUP(G25,Equivalencia!E:F,2,FALSE)),VLOOKUP(G25,Equivalencia!H:I,2,FALSE))),"")</f>
        <v/>
      </c>
      <c r="I25" s="82"/>
      <c r="J25" s="38">
        <v>1</v>
      </c>
      <c r="K25" s="39" t="str">
        <f>IFERROR(VLOOKUP(G25,Notas!B:K,8,FALSE)/1000,"")</f>
        <v/>
      </c>
      <c r="L25" s="40" t="str">
        <f>IFERROR(IF(VLOOKUP(G25,Notas!B:K,9,FALSE)=".000","",VLOOKUP(G25,Notas!B:K,9,FALSE)/1000),"")</f>
        <v/>
      </c>
      <c r="M25" s="69"/>
    </row>
    <row r="26" spans="2:14" ht="17.850000000000001" customHeight="1" x14ac:dyDescent="0.3">
      <c r="B26" s="67"/>
      <c r="C26" s="116"/>
      <c r="D26" s="111" t="s">
        <v>42</v>
      </c>
      <c r="E26" s="81" t="s">
        <v>54</v>
      </c>
      <c r="F26" s="82"/>
      <c r="G26" s="37" t="str">
        <f>IF($L$9="","",IFERROR(VLOOKUP(IFERROR(VLOOKUP(D26,Notas!B:B,1,FALSE),VLOOKUP(D26,Equivalencia!A:F,5,FALSE)),Notas!B:B,1,FALSE),VLOOKUP(D26,Equivalencia!A:H,8,FALSE)))</f>
        <v/>
      </c>
      <c r="H26" s="81" t="str">
        <f>IFERROR(IF($L$9="","",IFERROR(IFERROR(VLOOKUP(G26,Equivalencia!A:B,2,FALSE),VLOOKUP(G26,Equivalencia!E:F,2,FALSE)),VLOOKUP(G26,Equivalencia!H:I,2,FALSE))),"")</f>
        <v/>
      </c>
      <c r="I26" s="82"/>
      <c r="J26" s="38">
        <v>1</v>
      </c>
      <c r="K26" s="39" t="str">
        <f>IFERROR(VLOOKUP(G26,Notas!B:K,8,FALSE)/1000,"")</f>
        <v/>
      </c>
      <c r="L26" s="40" t="str">
        <f>IFERROR(IF(VLOOKUP(G26,Notas!B:K,9,FALSE)=".000","",VLOOKUP(G26,Notas!B:K,9,FALSE)/1000),"")</f>
        <v/>
      </c>
      <c r="M26" s="69"/>
    </row>
    <row r="27" spans="2:14" ht="15" customHeight="1" x14ac:dyDescent="0.3">
      <c r="B27" s="67"/>
      <c r="C27" s="29"/>
      <c r="D27" s="104"/>
      <c r="E27" s="31"/>
      <c r="F27" s="31"/>
      <c r="G27" s="30"/>
      <c r="H27" s="31"/>
      <c r="I27" s="31"/>
      <c r="J27" s="32"/>
      <c r="K27" s="30"/>
      <c r="L27" s="30"/>
      <c r="M27" s="69"/>
      <c r="N27" s="58" t="s">
        <v>0</v>
      </c>
    </row>
    <row r="28" spans="2:14" ht="13.5" customHeight="1" x14ac:dyDescent="0.3">
      <c r="B28" s="67"/>
      <c r="C28" s="125" t="s">
        <v>15</v>
      </c>
      <c r="D28" s="126"/>
      <c r="E28" s="126"/>
      <c r="F28" s="126"/>
      <c r="G28" s="126"/>
      <c r="H28" s="126"/>
      <c r="I28" s="127"/>
      <c r="J28" s="119">
        <f>SUM(J12:J26)</f>
        <v>27</v>
      </c>
      <c r="K28" s="120"/>
      <c r="L28" s="121"/>
      <c r="M28" s="69"/>
    </row>
    <row r="29" spans="2:14" ht="13.5" customHeight="1" x14ac:dyDescent="0.3">
      <c r="B29" s="67"/>
      <c r="C29" s="133" t="s">
        <v>16</v>
      </c>
      <c r="D29" s="134"/>
      <c r="E29" s="134"/>
      <c r="F29" s="134"/>
      <c r="G29" s="134"/>
      <c r="H29" s="134"/>
      <c r="I29" s="135"/>
      <c r="J29" s="122">
        <f>SUMPRODUCT(J12:J26,K12:K26)/J28</f>
        <v>0</v>
      </c>
      <c r="K29" s="123"/>
      <c r="L29" s="124"/>
      <c r="M29" s="69"/>
    </row>
    <row r="30" spans="2:14" ht="15" customHeight="1" x14ac:dyDescent="0.3">
      <c r="B30" s="67"/>
      <c r="C30" s="6"/>
      <c r="D30" s="105"/>
      <c r="E30" s="4"/>
      <c r="F30" s="4"/>
      <c r="G30" s="3"/>
      <c r="H30" s="4"/>
      <c r="I30" s="4"/>
      <c r="J30" s="5"/>
      <c r="K30" s="3"/>
      <c r="L30" s="3"/>
      <c r="M30" s="69"/>
    </row>
    <row r="31" spans="2:14" ht="12.3" customHeight="1" x14ac:dyDescent="0.3">
      <c r="B31" s="67"/>
      <c r="C31" s="78" t="s">
        <v>17</v>
      </c>
      <c r="D31" s="106"/>
      <c r="E31" s="79"/>
      <c r="F31" s="79"/>
      <c r="G31" s="79"/>
      <c r="H31" s="79"/>
      <c r="I31" s="79"/>
      <c r="J31" s="79"/>
      <c r="K31" s="79"/>
      <c r="L31" s="80"/>
      <c r="M31" s="69"/>
    </row>
    <row r="32" spans="2:14" ht="40.950000000000003" customHeight="1" x14ac:dyDescent="0.3">
      <c r="B32" s="67"/>
      <c r="C32" s="130"/>
      <c r="D32" s="131"/>
      <c r="E32" s="131"/>
      <c r="F32" s="131"/>
      <c r="G32" s="131"/>
      <c r="H32" s="131"/>
      <c r="I32" s="131"/>
      <c r="J32" s="131"/>
      <c r="K32" s="131"/>
      <c r="L32" s="132"/>
      <c r="M32" s="69"/>
    </row>
    <row r="33" spans="2:13" ht="8.25" customHeight="1" x14ac:dyDescent="0.3">
      <c r="B33" s="67"/>
      <c r="C33" s="76"/>
      <c r="D33" s="107"/>
      <c r="E33" s="76"/>
      <c r="F33" s="76"/>
      <c r="G33" s="76"/>
      <c r="H33" s="76"/>
      <c r="I33" s="76"/>
      <c r="J33" s="76"/>
      <c r="K33" s="76"/>
      <c r="L33" s="76"/>
      <c r="M33" s="69"/>
    </row>
    <row r="34" spans="2:13" ht="14.4" customHeight="1" x14ac:dyDescent="0.3">
      <c r="B34" s="67"/>
      <c r="C34" s="6"/>
      <c r="D34" s="108"/>
      <c r="E34" s="136"/>
      <c r="F34" s="136"/>
      <c r="G34" s="136"/>
      <c r="H34" s="4"/>
      <c r="I34" s="129"/>
      <c r="J34" s="129"/>
      <c r="K34" s="129"/>
      <c r="L34" s="3"/>
      <c r="M34" s="69"/>
    </row>
    <row r="35" spans="2:13" ht="10.5" customHeight="1" x14ac:dyDescent="0.3">
      <c r="B35" s="67"/>
      <c r="C35" s="6"/>
      <c r="D35" s="108"/>
      <c r="E35" s="136"/>
      <c r="F35" s="136"/>
      <c r="G35" s="136"/>
      <c r="H35" s="4"/>
      <c r="I35" s="129"/>
      <c r="J35" s="129"/>
      <c r="K35" s="129"/>
      <c r="L35" s="3"/>
      <c r="M35" s="69"/>
    </row>
    <row r="36" spans="2:13" ht="22.5" customHeight="1" x14ac:dyDescent="0.3">
      <c r="B36" s="67"/>
      <c r="C36" s="6"/>
      <c r="D36" s="108"/>
      <c r="E36" s="136"/>
      <c r="F36" s="136"/>
      <c r="G36" s="136"/>
      <c r="H36" s="4"/>
      <c r="I36" s="129"/>
      <c r="J36" s="129"/>
      <c r="K36" s="129"/>
      <c r="L36" s="3"/>
      <c r="M36" s="69"/>
    </row>
    <row r="37" spans="2:13" ht="8.25" customHeight="1" x14ac:dyDescent="0.3">
      <c r="B37" s="67"/>
      <c r="C37" s="6"/>
      <c r="D37" s="108"/>
      <c r="E37" s="136"/>
      <c r="F37" s="136"/>
      <c r="G37" s="136"/>
      <c r="H37" s="4"/>
      <c r="I37" s="129"/>
      <c r="J37" s="129"/>
      <c r="K37" s="129"/>
      <c r="L37" s="3"/>
      <c r="M37" s="69"/>
    </row>
    <row r="38" spans="2:13" ht="2.25" customHeight="1" x14ac:dyDescent="0.3">
      <c r="B38" s="67"/>
      <c r="C38" s="6"/>
      <c r="D38" s="108"/>
      <c r="E38" s="56"/>
      <c r="F38" s="56"/>
      <c r="G38" s="56"/>
      <c r="H38" s="4"/>
      <c r="I38" s="56"/>
      <c r="J38" s="56"/>
      <c r="K38" s="56"/>
      <c r="L38" s="3"/>
      <c r="M38" s="69"/>
    </row>
    <row r="39" spans="2:13" ht="12.9" customHeight="1" x14ac:dyDescent="0.3">
      <c r="B39" s="67"/>
      <c r="C39" s="6"/>
      <c r="D39" s="108"/>
      <c r="E39" s="128"/>
      <c r="F39" s="128"/>
      <c r="G39" s="128"/>
      <c r="H39" s="57"/>
      <c r="I39" s="128"/>
      <c r="J39" s="128"/>
      <c r="K39" s="128"/>
      <c r="L39" s="3"/>
      <c r="M39" s="69"/>
    </row>
    <row r="40" spans="2:13" ht="11.7" customHeight="1" x14ac:dyDescent="0.3">
      <c r="B40" s="67"/>
      <c r="C40" s="6"/>
      <c r="D40" s="105"/>
      <c r="E40" s="118" t="s">
        <v>25</v>
      </c>
      <c r="F40" s="118"/>
      <c r="G40" s="118"/>
      <c r="H40" s="57"/>
      <c r="I40" s="118" t="s">
        <v>26</v>
      </c>
      <c r="J40" s="118"/>
      <c r="K40" s="118"/>
      <c r="L40" s="3"/>
      <c r="M40" s="69"/>
    </row>
    <row r="41" spans="2:13" x14ac:dyDescent="0.3">
      <c r="B41" s="67"/>
      <c r="C41" s="6"/>
      <c r="D41" s="105"/>
      <c r="E41" s="4"/>
      <c r="F41" s="4"/>
      <c r="G41" s="3"/>
      <c r="H41" s="4"/>
      <c r="I41" s="4"/>
      <c r="J41" s="5"/>
      <c r="K41" s="3"/>
      <c r="L41" s="3"/>
      <c r="M41" s="69"/>
    </row>
    <row r="42" spans="2:13" x14ac:dyDescent="0.3">
      <c r="B42" s="70"/>
      <c r="C42" s="71"/>
      <c r="D42" s="109"/>
      <c r="E42" s="73"/>
      <c r="F42" s="73"/>
      <c r="G42" s="72"/>
      <c r="H42" s="73"/>
      <c r="I42" s="73"/>
      <c r="J42" s="74"/>
      <c r="K42" s="72"/>
      <c r="L42" s="72"/>
      <c r="M42" s="75"/>
    </row>
    <row r="91" spans="5:5" x14ac:dyDescent="0.3">
      <c r="E91" s="60" t="s">
        <v>60</v>
      </c>
    </row>
  </sheetData>
  <sheetProtection selectLockedCells="1"/>
  <protectedRanges>
    <protectedRange sqref="C32:C33 I39:I40 E39:E40" name="Editables"/>
  </protectedRanges>
  <autoFilter ref="C11:L26" xr:uid="{D4266D67-BE98-413A-912C-069611CCC4E6}">
    <filterColumn colId="0" showButton="0"/>
    <filterColumn colId="2" showButton="0"/>
    <filterColumn colId="5" showButton="0"/>
  </autoFilter>
  <mergeCells count="29">
    <mergeCell ref="F9:I9"/>
    <mergeCell ref="H11:I11"/>
    <mergeCell ref="J3:L4"/>
    <mergeCell ref="J9:K9"/>
    <mergeCell ref="J8:K8"/>
    <mergeCell ref="E3:I4"/>
    <mergeCell ref="E5:I5"/>
    <mergeCell ref="E6:I6"/>
    <mergeCell ref="F8:I8"/>
    <mergeCell ref="C8:E8"/>
    <mergeCell ref="C3:D6"/>
    <mergeCell ref="C9:E9"/>
    <mergeCell ref="L5:L6"/>
    <mergeCell ref="J5:K6"/>
    <mergeCell ref="C11:D11"/>
    <mergeCell ref="E11:F11"/>
    <mergeCell ref="C12:C19"/>
    <mergeCell ref="C20:C26"/>
    <mergeCell ref="I40:K40"/>
    <mergeCell ref="J28:L28"/>
    <mergeCell ref="J29:L29"/>
    <mergeCell ref="C28:I28"/>
    <mergeCell ref="I39:K39"/>
    <mergeCell ref="I34:K37"/>
    <mergeCell ref="C32:L32"/>
    <mergeCell ref="C29:I29"/>
    <mergeCell ref="E39:G39"/>
    <mergeCell ref="E40:G40"/>
    <mergeCell ref="E34:G37"/>
  </mergeCells>
  <phoneticPr fontId="4" type="noConversion"/>
  <conditionalFormatting sqref="F9">
    <cfRule type="cellIs" dxfId="7" priority="10" operator="equal">
      <formula>"-"</formula>
    </cfRule>
    <cfRule type="cellIs" dxfId="6" priority="11" operator="equal">
      <formula>"- "</formula>
    </cfRule>
  </conditionalFormatting>
  <conditionalFormatting sqref="L12:L26">
    <cfRule type="expression" dxfId="5" priority="7">
      <formula>AND(K12&lt;6,L12="")</formula>
    </cfRule>
  </conditionalFormatting>
  <conditionalFormatting sqref="J29">
    <cfRule type="expression" dxfId="4" priority="6">
      <formula>J28&lt;&gt;27</formula>
    </cfRule>
  </conditionalFormatting>
  <conditionalFormatting sqref="H13:I26 I12">
    <cfRule type="expression" dxfId="3" priority="5">
      <formula>AND(H12="",G12=0)</formula>
    </cfRule>
  </conditionalFormatting>
  <conditionalFormatting sqref="G11:J11 G13:J26 G12 I12:J12">
    <cfRule type="cellIs" dxfId="2" priority="4" operator="equal">
      <formula>0</formula>
    </cfRule>
  </conditionalFormatting>
  <conditionalFormatting sqref="K33:K43 K2:K31">
    <cfRule type="cellIs" dxfId="1" priority="3" operator="lessThan">
      <formula>6</formula>
    </cfRule>
  </conditionalFormatting>
  <conditionalFormatting sqref="D30:D31 D1:D11 D27 D33:D1048576 C12 C20">
    <cfRule type="duplicateValues" dxfId="0" priority="29"/>
  </conditionalFormatting>
  <dataValidations disablePrompts="1" count="6">
    <dataValidation allowBlank="1" showInputMessage="1" showErrorMessage="1" error="NO SE PUEDE MODIFICAR ESTA CELDA" sqref="C31" xr:uid="{D445BFA0-6458-4E7D-A492-E0141B7B2583}"/>
    <dataValidation operator="equal" showInputMessage="1" showErrorMessage="1" error="EL FORMATO DEBE SER: _x000a__x000a_AÑO-PERIODO (EN NÚMERO, SIN ESPACIOS)_x000a__x000a_EJEMPLO: 2020-1" sqref="L9" xr:uid="{27A3A3B5-5DFD-4185-A7AA-ADFC980A638C}"/>
    <dataValidation operator="greaterThan" allowBlank="1" showDropDown="1" showInputMessage="1" showErrorMessage="1" error="NO SE PUEDE MODIFICAR ESTA CELDA" sqref="F8" xr:uid="{36AB34F6-1B7C-4A7E-837D-57BF6AAE1E12}"/>
    <dataValidation type="list" operator="greaterThan" allowBlank="1" showDropDown="1" showInputMessage="1" showErrorMessage="1" error="NO SE PUEDE MODIFICAR ESTA CELDA" sqref="L8" xr:uid="{823A8BE9-FBBC-4B7A-ACEF-116A31A79AC2}">
      <formula1>#REF!</formula1>
    </dataValidation>
    <dataValidation showInputMessage="1" showErrorMessage="1" sqref="E11:F11" xr:uid="{95F87BD5-F757-4C98-8FCD-75B74C61B4C7}"/>
    <dataValidation allowBlank="1" showInputMessage="1" showErrorMessage="1" error="POR FAVOR SELECCIONAR UN PROGRAMA DE LA LISTA_x000a_" sqref="F9" xr:uid="{D3F817CA-667E-46AD-8E26-8875D30B483E}"/>
  </dataValidations>
  <printOptions horizontalCentered="1"/>
  <pageMargins left="0.5" right="0.5" top="0.5" bottom="0.1" header="0.31496062992125984" footer="0.31496062992125984"/>
  <pageSetup paperSize="124" scale="82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operator="greaterThan" allowBlank="1" showDropDown="1" showInputMessage="1" showErrorMessage="1" error="NO SE PUEDE MODIFICAR ESTA CELDA" xr:uid="{80232D9C-C53C-4489-B769-89843380EC7F}">
          <x14:formula1>
            <xm:f>Notas!#REF!</xm:f>
          </x14:formula1>
          <xm:sqref>J28:L29 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524FE-ABF9-49F0-8DE8-1A0033F5709F}">
  <sheetPr codeName="Hoja2"/>
  <dimension ref="D3:U185"/>
  <sheetViews>
    <sheetView topLeftCell="A77" workbookViewId="0">
      <selection activeCell="A50" sqref="A50"/>
    </sheetView>
  </sheetViews>
  <sheetFormatPr baseColWidth="10" defaultColWidth="11.44140625" defaultRowHeight="14.4" x14ac:dyDescent="0.3"/>
  <sheetData>
    <row r="3" spans="4:11" x14ac:dyDescent="0.3">
      <c r="D3" s="1"/>
      <c r="H3" s="1"/>
    </row>
    <row r="12" spans="4:11" x14ac:dyDescent="0.3">
      <c r="E12" s="1"/>
      <c r="F12" s="1"/>
      <c r="G12" s="1"/>
      <c r="I12" s="1"/>
      <c r="K12" s="1"/>
    </row>
    <row r="13" spans="4:11" x14ac:dyDescent="0.3">
      <c r="E13" s="1"/>
      <c r="F13" s="1"/>
      <c r="G13" s="1"/>
      <c r="I13" s="1"/>
      <c r="K13" s="1"/>
    </row>
    <row r="14" spans="4:11" x14ac:dyDescent="0.3">
      <c r="E14" s="1"/>
      <c r="F14" s="1"/>
      <c r="G14" s="1"/>
      <c r="I14" s="1"/>
      <c r="K14" s="1"/>
    </row>
    <row r="15" spans="4:11" x14ac:dyDescent="0.3">
      <c r="E15" s="1"/>
      <c r="F15" s="1"/>
      <c r="G15" s="1"/>
      <c r="I15" s="1"/>
      <c r="K15" s="1"/>
    </row>
    <row r="16" spans="4:11" x14ac:dyDescent="0.3">
      <c r="E16" s="1"/>
      <c r="F16" s="1"/>
      <c r="G16" s="1"/>
      <c r="I16" s="1"/>
      <c r="K16" s="1"/>
    </row>
    <row r="17" spans="5:21" x14ac:dyDescent="0.3">
      <c r="E17" s="1"/>
      <c r="F17" s="1"/>
      <c r="G17" s="1"/>
      <c r="H17" s="1"/>
      <c r="I17" s="1"/>
      <c r="J17" s="1"/>
      <c r="K17" s="1"/>
      <c r="M17" s="1"/>
      <c r="R17" s="1"/>
    </row>
    <row r="18" spans="5:21" x14ac:dyDescent="0.3">
      <c r="E18" s="1"/>
      <c r="F18" s="1"/>
      <c r="G18" s="1"/>
      <c r="H18" s="1"/>
      <c r="I18" s="1"/>
      <c r="K18" s="1"/>
      <c r="M18" s="1"/>
    </row>
    <row r="19" spans="5:21" x14ac:dyDescent="0.3">
      <c r="E19" s="1"/>
      <c r="F19" s="1"/>
      <c r="G19" s="1"/>
      <c r="H19" s="1"/>
      <c r="I19" s="1"/>
      <c r="J19" s="1"/>
      <c r="K19" s="1"/>
      <c r="M19" s="1"/>
    </row>
    <row r="20" spans="5:21" x14ac:dyDescent="0.3">
      <c r="E20" s="1"/>
      <c r="F20" s="1"/>
      <c r="G20" s="1"/>
      <c r="H20" s="1"/>
      <c r="I20" s="1"/>
      <c r="K20" s="1"/>
      <c r="M20" s="1"/>
    </row>
    <row r="21" spans="5:21" x14ac:dyDescent="0.3">
      <c r="E21" s="1"/>
      <c r="F21" s="1"/>
      <c r="G21" s="1"/>
      <c r="H21" s="1"/>
      <c r="I21" s="1"/>
      <c r="K21" s="1"/>
      <c r="M21" s="1"/>
      <c r="N21" s="1"/>
      <c r="R21" s="1"/>
    </row>
    <row r="22" spans="5:21" x14ac:dyDescent="0.3">
      <c r="E22" s="1"/>
      <c r="G22" s="1"/>
      <c r="H22" s="1"/>
      <c r="I22" s="1"/>
      <c r="K22" s="1"/>
      <c r="M22" s="1"/>
    </row>
    <row r="23" spans="5:21" x14ac:dyDescent="0.3">
      <c r="E23" s="1"/>
      <c r="G23" s="1"/>
      <c r="H23" s="1"/>
      <c r="I23" s="1"/>
      <c r="K23" s="1"/>
      <c r="M23" s="1"/>
      <c r="N23" s="1"/>
      <c r="R23" s="1"/>
      <c r="U23" s="1"/>
    </row>
    <row r="24" spans="5:21" x14ac:dyDescent="0.3">
      <c r="E24" s="1"/>
      <c r="I24" s="1"/>
      <c r="K24" s="1"/>
      <c r="N24" s="1"/>
      <c r="R24" s="1"/>
    </row>
    <row r="25" spans="5:21" x14ac:dyDescent="0.3">
      <c r="E25" s="1"/>
      <c r="I25" s="1"/>
      <c r="K25" s="1"/>
    </row>
    <row r="26" spans="5:21" x14ac:dyDescent="0.3">
      <c r="E26" s="1"/>
      <c r="I26" s="1"/>
      <c r="K26" s="1"/>
      <c r="N26" s="1"/>
      <c r="R26" s="1"/>
    </row>
    <row r="27" spans="5:21" x14ac:dyDescent="0.3">
      <c r="E27" s="1"/>
      <c r="I27" s="1"/>
      <c r="K27" s="1"/>
    </row>
    <row r="28" spans="5:21" x14ac:dyDescent="0.3">
      <c r="E28" s="1"/>
      <c r="F28" s="1"/>
      <c r="G28" s="1"/>
      <c r="H28" s="1"/>
      <c r="I28" s="1"/>
      <c r="K28" s="1"/>
      <c r="L28" s="1"/>
      <c r="N28" s="1"/>
      <c r="P28" s="1"/>
      <c r="T28" s="1"/>
    </row>
    <row r="29" spans="5:21" x14ac:dyDescent="0.3">
      <c r="E29" s="1"/>
      <c r="F29" s="1"/>
      <c r="G29" s="1"/>
      <c r="H29" s="1"/>
      <c r="I29" s="1"/>
      <c r="K29" s="1"/>
      <c r="L29" s="1"/>
      <c r="N29" s="1"/>
    </row>
    <row r="30" spans="5:21" x14ac:dyDescent="0.3">
      <c r="E30" s="1"/>
      <c r="F30" s="1"/>
      <c r="G30" s="1"/>
      <c r="H30" s="1"/>
      <c r="I30" s="1"/>
      <c r="K30" s="1"/>
      <c r="L30" s="1"/>
      <c r="N30" s="1"/>
    </row>
    <row r="31" spans="5:21" x14ac:dyDescent="0.3">
      <c r="E31" s="1"/>
      <c r="F31" s="1"/>
      <c r="G31" s="1"/>
      <c r="H31" s="1"/>
      <c r="I31" s="1"/>
      <c r="K31" s="1"/>
      <c r="L31" s="1"/>
      <c r="N31" s="1"/>
    </row>
    <row r="32" spans="5:21" x14ac:dyDescent="0.3">
      <c r="E32" s="1"/>
      <c r="F32" s="1"/>
      <c r="G32" s="1"/>
      <c r="H32" s="1"/>
      <c r="I32" s="1"/>
      <c r="K32" s="1"/>
      <c r="L32" s="1"/>
      <c r="N32" s="1"/>
    </row>
    <row r="33" spans="5:21" x14ac:dyDescent="0.3">
      <c r="E33" s="1"/>
      <c r="F33" s="1"/>
      <c r="G33" s="1"/>
      <c r="H33" s="1"/>
      <c r="I33" s="1"/>
      <c r="K33" s="1"/>
      <c r="L33" s="1"/>
      <c r="M33" s="1"/>
      <c r="N33" s="1"/>
    </row>
    <row r="34" spans="5:21" x14ac:dyDescent="0.3">
      <c r="E34" s="1"/>
      <c r="F34" s="1"/>
      <c r="G34" s="1"/>
      <c r="H34" s="1"/>
      <c r="I34" s="1"/>
      <c r="K34" s="1"/>
      <c r="L34" s="1"/>
      <c r="M34" s="1"/>
      <c r="N34" s="1"/>
      <c r="R34" s="1"/>
    </row>
    <row r="35" spans="5:21" x14ac:dyDescent="0.3">
      <c r="E35" s="1"/>
      <c r="F35" s="1"/>
      <c r="G35" s="1"/>
      <c r="H35" s="1"/>
      <c r="I35" s="1"/>
      <c r="K35" s="1"/>
      <c r="L35" s="1"/>
      <c r="M35" s="1"/>
      <c r="N35" s="1"/>
    </row>
    <row r="36" spans="5:21" x14ac:dyDescent="0.3">
      <c r="E36" s="1"/>
      <c r="F36" s="1"/>
      <c r="G36" s="1"/>
      <c r="H36" s="1"/>
      <c r="I36" s="1"/>
      <c r="K36" s="1"/>
      <c r="M36" s="1"/>
    </row>
    <row r="37" spans="5:21" x14ac:dyDescent="0.3">
      <c r="E37" s="1"/>
      <c r="G37" s="1"/>
      <c r="I37" s="1"/>
      <c r="K37" s="1"/>
      <c r="M37" s="1"/>
    </row>
    <row r="38" spans="5:21" x14ac:dyDescent="0.3">
      <c r="E38" s="1"/>
      <c r="G38" s="1"/>
      <c r="I38" s="1"/>
      <c r="K38" s="1"/>
      <c r="M38" s="1"/>
    </row>
    <row r="39" spans="5:21" x14ac:dyDescent="0.3">
      <c r="E39" s="1"/>
      <c r="G39" s="1"/>
      <c r="I39" s="1"/>
      <c r="K39" s="1"/>
      <c r="M39" s="1"/>
      <c r="N39" s="1"/>
      <c r="R39" s="1"/>
    </row>
    <row r="40" spans="5:21" x14ac:dyDescent="0.3">
      <c r="E40" s="1"/>
      <c r="G40" s="1"/>
      <c r="I40" s="1"/>
      <c r="K40" s="1"/>
      <c r="M40" s="1"/>
      <c r="N40" s="1"/>
      <c r="Q40" s="1"/>
      <c r="R40" s="1"/>
      <c r="U40" s="1"/>
    </row>
    <row r="41" spans="5:21" x14ac:dyDescent="0.3">
      <c r="E41" s="1"/>
      <c r="G41" s="1"/>
      <c r="I41" s="1"/>
      <c r="K41" s="1"/>
      <c r="M41" s="1"/>
      <c r="N41" s="1"/>
      <c r="R41" s="1"/>
    </row>
    <row r="42" spans="5:21" x14ac:dyDescent="0.3">
      <c r="E42" s="1"/>
      <c r="G42" s="1"/>
      <c r="I42" s="1"/>
      <c r="K42" s="1"/>
      <c r="M42" s="1"/>
      <c r="N42" s="1"/>
      <c r="R42" s="1"/>
    </row>
    <row r="43" spans="5:21" x14ac:dyDescent="0.3">
      <c r="E43" s="1"/>
      <c r="I43" s="1"/>
      <c r="K43" s="1"/>
      <c r="N43" s="1"/>
      <c r="R43" s="1"/>
    </row>
    <row r="44" spans="5:21" x14ac:dyDescent="0.3">
      <c r="E44" s="1"/>
      <c r="F44" s="1"/>
      <c r="G44" s="1"/>
      <c r="I44" s="1"/>
      <c r="K44" s="1"/>
    </row>
    <row r="45" spans="5:21" x14ac:dyDescent="0.3">
      <c r="E45" s="1"/>
      <c r="F45" s="1"/>
      <c r="I45" s="1"/>
      <c r="K45" s="1"/>
    </row>
    <row r="46" spans="5:21" x14ac:dyDescent="0.3">
      <c r="E46" s="1"/>
      <c r="F46" s="1"/>
      <c r="G46" s="1"/>
      <c r="I46" s="1"/>
      <c r="K46" s="1"/>
    </row>
    <row r="47" spans="5:21" x14ac:dyDescent="0.3">
      <c r="E47" s="1"/>
      <c r="F47" s="1"/>
      <c r="G47" s="1"/>
      <c r="I47" s="1"/>
      <c r="K47" s="1"/>
      <c r="P47" s="1"/>
      <c r="T47" s="1"/>
    </row>
    <row r="48" spans="5:21" x14ac:dyDescent="0.3">
      <c r="E48" s="1"/>
      <c r="F48" s="1"/>
      <c r="G48" s="1"/>
      <c r="I48" s="1"/>
      <c r="K48" s="1"/>
      <c r="N48" s="1"/>
      <c r="R48" s="1"/>
    </row>
    <row r="49" spans="5:20" x14ac:dyDescent="0.3">
      <c r="E49" s="1"/>
      <c r="F49" s="1"/>
      <c r="G49" s="1"/>
      <c r="I49" s="1"/>
      <c r="J49" s="1"/>
      <c r="K49" s="1"/>
    </row>
    <row r="50" spans="5:20" x14ac:dyDescent="0.3">
      <c r="E50" s="1"/>
      <c r="F50" s="1"/>
      <c r="G50" s="1"/>
      <c r="I50" s="1"/>
      <c r="K50" s="1"/>
    </row>
    <row r="51" spans="5:20" x14ac:dyDescent="0.3">
      <c r="E51" s="1"/>
      <c r="F51" s="1"/>
      <c r="G51" s="1"/>
      <c r="I51" s="1"/>
      <c r="K51" s="1"/>
    </row>
    <row r="52" spans="5:20" x14ac:dyDescent="0.3">
      <c r="E52" s="1"/>
      <c r="F52" s="1"/>
      <c r="G52" s="1"/>
      <c r="H52" s="1"/>
      <c r="I52" s="1"/>
      <c r="K52" s="1"/>
      <c r="M52" s="1"/>
    </row>
    <row r="53" spans="5:20" x14ac:dyDescent="0.3">
      <c r="E53" s="1"/>
      <c r="F53" s="1"/>
      <c r="G53" s="1"/>
      <c r="H53" s="1"/>
      <c r="I53" s="1"/>
      <c r="K53" s="1"/>
      <c r="M53" s="1"/>
    </row>
    <row r="54" spans="5:20" x14ac:dyDescent="0.3">
      <c r="E54" s="1"/>
      <c r="F54" s="1"/>
      <c r="G54" s="1"/>
      <c r="H54" s="1"/>
      <c r="I54" s="1"/>
      <c r="K54" s="1"/>
      <c r="L54" s="1"/>
      <c r="M54" s="1"/>
    </row>
    <row r="55" spans="5:20" x14ac:dyDescent="0.3">
      <c r="E55" s="1"/>
      <c r="F55" s="1"/>
      <c r="G55" s="1"/>
      <c r="H55" s="1"/>
      <c r="I55" s="1"/>
      <c r="K55" s="1"/>
      <c r="M55" s="1"/>
    </row>
    <row r="56" spans="5:20" x14ac:dyDescent="0.3">
      <c r="E56" s="1"/>
      <c r="F56" s="1"/>
      <c r="G56" s="1"/>
      <c r="H56" s="1"/>
      <c r="I56" s="1"/>
      <c r="K56" s="1"/>
      <c r="M56" s="1"/>
    </row>
    <row r="57" spans="5:20" x14ac:dyDescent="0.3">
      <c r="G57" s="1"/>
      <c r="H57" s="1"/>
      <c r="I57" s="1"/>
      <c r="K57" s="1"/>
      <c r="M57" s="1"/>
      <c r="N57" s="1"/>
      <c r="R57" s="1"/>
    </row>
    <row r="58" spans="5:20" x14ac:dyDescent="0.3">
      <c r="G58" s="1"/>
      <c r="H58" s="1"/>
      <c r="I58" s="1"/>
      <c r="K58" s="1"/>
      <c r="M58" s="1"/>
      <c r="N58" s="1"/>
      <c r="R58" s="1"/>
    </row>
    <row r="59" spans="5:20" x14ac:dyDescent="0.3">
      <c r="G59" s="1"/>
      <c r="H59" s="1"/>
      <c r="I59" s="1"/>
      <c r="K59" s="1"/>
      <c r="M59" s="1"/>
      <c r="N59" s="1"/>
      <c r="R59" s="1"/>
    </row>
    <row r="60" spans="5:20" x14ac:dyDescent="0.3">
      <c r="N60" s="1"/>
      <c r="R60" s="1"/>
    </row>
    <row r="61" spans="5:20" x14ac:dyDescent="0.3">
      <c r="N61" s="1"/>
      <c r="R61" s="1"/>
    </row>
    <row r="62" spans="5:20" x14ac:dyDescent="0.3">
      <c r="E62" s="1"/>
      <c r="F62" s="1"/>
      <c r="G62" s="1"/>
      <c r="I62" s="1"/>
      <c r="K62" s="1"/>
    </row>
    <row r="63" spans="5:20" x14ac:dyDescent="0.3">
      <c r="E63" s="1"/>
      <c r="F63" s="1"/>
      <c r="G63" s="1"/>
      <c r="I63" s="1"/>
      <c r="K63" s="1"/>
    </row>
    <row r="64" spans="5:20" x14ac:dyDescent="0.3">
      <c r="E64" s="1"/>
      <c r="F64" s="1"/>
      <c r="G64" s="1"/>
      <c r="I64" s="1"/>
      <c r="J64" s="1"/>
      <c r="K64" s="1"/>
      <c r="P64" s="1"/>
      <c r="T64" s="1"/>
    </row>
    <row r="65" spans="5:20" x14ac:dyDescent="0.3">
      <c r="E65" s="1"/>
      <c r="F65" s="1"/>
      <c r="G65" s="1"/>
      <c r="I65" s="1"/>
      <c r="J65" s="1"/>
      <c r="K65" s="1"/>
    </row>
    <row r="66" spans="5:20" x14ac:dyDescent="0.3">
      <c r="E66" s="1"/>
      <c r="F66" s="1"/>
      <c r="G66" s="1"/>
      <c r="I66" s="1"/>
      <c r="K66" s="1"/>
    </row>
    <row r="67" spans="5:20" x14ac:dyDescent="0.3">
      <c r="E67" s="1"/>
      <c r="F67" s="1"/>
      <c r="G67" s="1"/>
      <c r="I67" s="1"/>
      <c r="K67" s="1"/>
    </row>
    <row r="68" spans="5:20" x14ac:dyDescent="0.3">
      <c r="E68" s="1"/>
      <c r="F68" s="1"/>
      <c r="G68" s="1"/>
      <c r="I68" s="1"/>
      <c r="K68" s="1"/>
    </row>
    <row r="69" spans="5:20" x14ac:dyDescent="0.3">
      <c r="E69" s="1"/>
      <c r="F69" s="1"/>
      <c r="G69" s="1"/>
      <c r="H69" s="1"/>
      <c r="I69" s="1"/>
      <c r="K69" s="1"/>
      <c r="M69" s="1"/>
    </row>
    <row r="70" spans="5:20" x14ac:dyDescent="0.3">
      <c r="E70" s="1"/>
      <c r="F70" s="1"/>
      <c r="G70" s="1"/>
      <c r="H70" s="1"/>
      <c r="I70" s="1"/>
      <c r="K70" s="1"/>
      <c r="M70" s="1"/>
    </row>
    <row r="71" spans="5:20" x14ac:dyDescent="0.3">
      <c r="E71" s="1"/>
      <c r="F71" s="1"/>
      <c r="G71" s="1"/>
      <c r="H71" s="1"/>
      <c r="I71" s="1"/>
      <c r="K71" s="1"/>
      <c r="M71" s="1"/>
    </row>
    <row r="72" spans="5:20" x14ac:dyDescent="0.3">
      <c r="E72" s="1"/>
      <c r="F72" s="1"/>
      <c r="G72" s="1"/>
      <c r="H72" s="1"/>
      <c r="I72" s="1"/>
      <c r="K72" s="1"/>
      <c r="M72" s="1"/>
    </row>
    <row r="73" spans="5:20" x14ac:dyDescent="0.3">
      <c r="E73" s="1"/>
      <c r="F73" s="1"/>
      <c r="G73" s="1"/>
      <c r="H73" s="1"/>
      <c r="I73" s="1"/>
      <c r="K73" s="1"/>
      <c r="M73" s="1"/>
      <c r="N73" s="1"/>
      <c r="R73" s="1"/>
    </row>
    <row r="74" spans="5:20" x14ac:dyDescent="0.3">
      <c r="E74" s="1"/>
      <c r="G74" s="1"/>
      <c r="H74" s="1"/>
      <c r="I74" s="1"/>
      <c r="K74" s="1"/>
      <c r="M74" s="1"/>
    </row>
    <row r="75" spans="5:20" x14ac:dyDescent="0.3">
      <c r="E75" s="1"/>
      <c r="F75" s="1"/>
      <c r="G75" s="1"/>
      <c r="H75" s="1"/>
      <c r="I75" s="1"/>
      <c r="K75" s="1"/>
      <c r="M75" s="1"/>
      <c r="N75" s="1"/>
      <c r="R75" s="1"/>
    </row>
    <row r="76" spans="5:20" x14ac:dyDescent="0.3">
      <c r="N76" s="1"/>
      <c r="R76" s="1"/>
    </row>
    <row r="77" spans="5:20" x14ac:dyDescent="0.3">
      <c r="N77" s="1"/>
      <c r="R77" s="1"/>
    </row>
    <row r="78" spans="5:20" x14ac:dyDescent="0.3">
      <c r="E78" s="1"/>
      <c r="F78" s="1"/>
      <c r="G78" s="1"/>
      <c r="I78" s="1"/>
      <c r="K78" s="1"/>
    </row>
    <row r="79" spans="5:20" x14ac:dyDescent="0.3">
      <c r="E79" s="1"/>
      <c r="F79" s="1"/>
      <c r="G79" s="1"/>
      <c r="I79" s="1"/>
      <c r="K79" s="1"/>
    </row>
    <row r="80" spans="5:20" x14ac:dyDescent="0.3">
      <c r="E80" s="1"/>
      <c r="F80" s="1"/>
      <c r="G80" s="1"/>
      <c r="I80" s="1"/>
      <c r="J80" s="1"/>
      <c r="K80" s="1"/>
      <c r="N80" s="1"/>
      <c r="P80" s="1"/>
      <c r="R80" s="1"/>
      <c r="T80" s="1"/>
    </row>
    <row r="81" spans="5:18" x14ac:dyDescent="0.3">
      <c r="E81" s="1"/>
      <c r="F81" s="1"/>
      <c r="G81" s="1"/>
      <c r="I81" s="1"/>
      <c r="K81" s="1"/>
    </row>
    <row r="82" spans="5:18" x14ac:dyDescent="0.3">
      <c r="E82" s="1"/>
      <c r="F82" s="1"/>
      <c r="G82" s="1"/>
      <c r="I82" s="1"/>
      <c r="K82" s="1"/>
    </row>
    <row r="83" spans="5:18" x14ac:dyDescent="0.3">
      <c r="E83" s="1"/>
      <c r="F83" s="1"/>
      <c r="G83" s="1"/>
      <c r="I83" s="1"/>
      <c r="K83" s="1"/>
    </row>
    <row r="84" spans="5:18" x14ac:dyDescent="0.3">
      <c r="E84" s="1"/>
      <c r="F84" s="1"/>
      <c r="G84" s="1"/>
      <c r="I84" s="1"/>
      <c r="K84" s="1"/>
    </row>
    <row r="85" spans="5:18" x14ac:dyDescent="0.3">
      <c r="E85" s="1"/>
      <c r="F85" s="1"/>
      <c r="G85" s="1"/>
      <c r="H85" s="1"/>
      <c r="I85" s="1"/>
      <c r="J85" s="1"/>
      <c r="K85" s="1"/>
      <c r="L85" s="1"/>
      <c r="M85" s="1"/>
    </row>
    <row r="86" spans="5:18" x14ac:dyDescent="0.3">
      <c r="E86" s="1"/>
      <c r="F86" s="1"/>
      <c r="G86" s="1"/>
      <c r="H86" s="1"/>
      <c r="I86" s="1"/>
      <c r="J86" s="1"/>
      <c r="K86" s="1"/>
      <c r="M86" s="1"/>
    </row>
    <row r="87" spans="5:18" x14ac:dyDescent="0.3">
      <c r="E87" s="1"/>
      <c r="F87" s="1"/>
      <c r="G87" s="1"/>
      <c r="H87" s="1"/>
      <c r="I87" s="1"/>
      <c r="K87" s="1"/>
      <c r="M87" s="1"/>
    </row>
    <row r="88" spans="5:18" x14ac:dyDescent="0.3">
      <c r="E88" s="1"/>
      <c r="F88" s="1"/>
      <c r="G88" s="1"/>
      <c r="H88" s="1"/>
      <c r="I88" s="1"/>
      <c r="K88" s="1"/>
      <c r="M88" s="1"/>
    </row>
    <row r="89" spans="5:18" x14ac:dyDescent="0.3">
      <c r="E89" s="1"/>
      <c r="F89" s="1"/>
      <c r="G89" s="1"/>
      <c r="I89" s="1"/>
      <c r="K89" s="1"/>
      <c r="M89" s="1"/>
    </row>
    <row r="90" spans="5:18" x14ac:dyDescent="0.3">
      <c r="E90" s="1"/>
      <c r="F90" s="1"/>
      <c r="G90" s="1"/>
      <c r="H90" s="1"/>
      <c r="I90" s="1"/>
      <c r="K90" s="1"/>
      <c r="M90" s="1"/>
      <c r="N90" s="1"/>
      <c r="R90" s="1"/>
    </row>
    <row r="91" spans="5:18" x14ac:dyDescent="0.3">
      <c r="E91" s="1"/>
      <c r="F91" s="1"/>
      <c r="G91" s="1"/>
      <c r="H91" s="1"/>
      <c r="I91" s="1"/>
      <c r="K91" s="1"/>
      <c r="M91" s="1"/>
    </row>
    <row r="92" spans="5:18" x14ac:dyDescent="0.3">
      <c r="E92" s="1"/>
      <c r="F92" s="1"/>
      <c r="G92" s="1"/>
      <c r="H92" s="1"/>
      <c r="I92" s="1"/>
      <c r="J92" s="1"/>
      <c r="K92" s="1"/>
      <c r="M92" s="1"/>
      <c r="N92" s="1"/>
      <c r="R92" s="1"/>
    </row>
    <row r="93" spans="5:18" x14ac:dyDescent="0.3">
      <c r="E93" s="1"/>
      <c r="F93" s="1"/>
      <c r="G93" s="1"/>
      <c r="I93" s="1"/>
      <c r="K93" s="1"/>
      <c r="N93" s="1"/>
      <c r="R93" s="1"/>
    </row>
    <row r="94" spans="5:18" x14ac:dyDescent="0.3">
      <c r="E94" s="1"/>
      <c r="F94" s="1"/>
      <c r="G94" s="1"/>
      <c r="I94" s="1"/>
      <c r="K94" s="1"/>
      <c r="N94" s="1"/>
      <c r="R94" s="1"/>
    </row>
    <row r="95" spans="5:18" x14ac:dyDescent="0.3">
      <c r="E95" s="1"/>
      <c r="F95" s="1"/>
      <c r="G95" s="1"/>
      <c r="I95" s="1"/>
      <c r="K95" s="1"/>
      <c r="N95" s="1"/>
      <c r="R95" s="1"/>
    </row>
    <row r="96" spans="5:18" x14ac:dyDescent="0.3">
      <c r="E96" s="1"/>
      <c r="F96" s="1"/>
      <c r="G96" s="1"/>
      <c r="I96" s="1"/>
      <c r="K96" s="1"/>
      <c r="N96" s="1"/>
      <c r="R96" s="1"/>
    </row>
    <row r="97" spans="5:20" x14ac:dyDescent="0.3">
      <c r="E97" s="1"/>
      <c r="F97" s="1"/>
      <c r="G97" s="1"/>
      <c r="I97" s="1"/>
      <c r="K97" s="1"/>
      <c r="P97" s="1"/>
      <c r="T97" s="1"/>
    </row>
    <row r="98" spans="5:20" x14ac:dyDescent="0.3">
      <c r="E98" s="1"/>
      <c r="F98" s="1"/>
      <c r="G98" s="1"/>
      <c r="I98" s="1"/>
      <c r="K98" s="1"/>
    </row>
    <row r="99" spans="5:20" x14ac:dyDescent="0.3">
      <c r="E99" s="1"/>
      <c r="F99" s="1"/>
      <c r="G99" s="1"/>
      <c r="I99" s="1"/>
      <c r="J99" s="1"/>
      <c r="K99" s="1"/>
      <c r="N99" s="1"/>
      <c r="R99" s="1"/>
    </row>
    <row r="100" spans="5:20" x14ac:dyDescent="0.3">
      <c r="E100" s="1"/>
      <c r="F100" s="1"/>
      <c r="G100" s="1"/>
      <c r="I100" s="1"/>
      <c r="K100" s="1"/>
    </row>
    <row r="101" spans="5:20" x14ac:dyDescent="0.3">
      <c r="E101" s="1"/>
      <c r="F101" s="1"/>
      <c r="G101" s="1"/>
      <c r="I101" s="1"/>
      <c r="K101" s="1"/>
    </row>
    <row r="102" spans="5:20" x14ac:dyDescent="0.3">
      <c r="E102" s="1"/>
      <c r="F102" s="1"/>
      <c r="G102" s="1"/>
      <c r="H102" s="1"/>
      <c r="I102" s="1"/>
      <c r="K102" s="1"/>
      <c r="M102" s="1"/>
    </row>
    <row r="103" spans="5:20" x14ac:dyDescent="0.3">
      <c r="E103" s="1"/>
      <c r="F103" s="1"/>
      <c r="G103" s="1"/>
      <c r="H103" s="1"/>
      <c r="I103" s="1"/>
      <c r="J103" s="1"/>
      <c r="K103" s="1"/>
      <c r="M103" s="1"/>
    </row>
    <row r="104" spans="5:20" x14ac:dyDescent="0.3">
      <c r="E104" s="1"/>
      <c r="F104" s="1"/>
      <c r="G104" s="1"/>
      <c r="H104" s="1"/>
      <c r="I104" s="1"/>
      <c r="K104" s="1"/>
      <c r="M104" s="1"/>
    </row>
    <row r="105" spans="5:20" x14ac:dyDescent="0.3">
      <c r="E105" s="1"/>
      <c r="F105" s="1"/>
      <c r="G105" s="1"/>
      <c r="H105" s="1"/>
      <c r="I105" s="1"/>
      <c r="K105" s="1"/>
      <c r="M105" s="1"/>
    </row>
    <row r="106" spans="5:20" x14ac:dyDescent="0.3">
      <c r="E106" s="1"/>
      <c r="F106" s="1"/>
      <c r="G106" s="1"/>
      <c r="I106" s="1"/>
      <c r="K106" s="1"/>
      <c r="M106" s="1"/>
    </row>
    <row r="107" spans="5:20" x14ac:dyDescent="0.3">
      <c r="E107" s="1"/>
      <c r="F107" s="1"/>
      <c r="G107" s="1"/>
      <c r="H107" s="1"/>
      <c r="I107" s="1"/>
      <c r="K107" s="1"/>
      <c r="M107" s="1"/>
    </row>
    <row r="108" spans="5:20" x14ac:dyDescent="0.3">
      <c r="E108" s="1"/>
      <c r="F108" s="1"/>
      <c r="G108" s="1"/>
      <c r="H108" s="1"/>
      <c r="I108" s="1"/>
      <c r="K108" s="1"/>
      <c r="M108" s="1"/>
      <c r="N108" s="1"/>
      <c r="R108" s="1"/>
    </row>
    <row r="109" spans="5:20" x14ac:dyDescent="0.3">
      <c r="E109" s="1"/>
      <c r="F109" s="1"/>
      <c r="G109" s="1"/>
      <c r="H109" s="1"/>
      <c r="I109" s="1"/>
      <c r="K109" s="1"/>
      <c r="M109" s="1"/>
      <c r="N109" s="1"/>
      <c r="R109" s="1"/>
    </row>
    <row r="110" spans="5:20" x14ac:dyDescent="0.3">
      <c r="E110" s="1"/>
      <c r="G110" s="1"/>
      <c r="H110" s="1"/>
      <c r="I110" s="1"/>
      <c r="K110" s="1"/>
      <c r="M110" s="1"/>
      <c r="N110" s="1"/>
      <c r="R110" s="1"/>
    </row>
    <row r="111" spans="5:20" x14ac:dyDescent="0.3">
      <c r="E111" s="1"/>
      <c r="F111" s="1"/>
      <c r="G111" s="1"/>
      <c r="I111" s="1"/>
      <c r="K111" s="1"/>
      <c r="N111" s="1"/>
      <c r="R111" s="1"/>
    </row>
    <row r="112" spans="5:20" x14ac:dyDescent="0.3">
      <c r="E112" s="1"/>
      <c r="I112" s="1"/>
      <c r="K112" s="1"/>
      <c r="N112" s="1"/>
      <c r="R112" s="1"/>
    </row>
    <row r="113" spans="5:20" x14ac:dyDescent="0.3">
      <c r="E113" s="1"/>
      <c r="F113" s="1"/>
      <c r="G113" s="1"/>
      <c r="I113" s="1"/>
      <c r="K113" s="1"/>
      <c r="N113" s="1"/>
      <c r="R113" s="1"/>
    </row>
    <row r="114" spans="5:20" x14ac:dyDescent="0.3">
      <c r="E114" s="1"/>
      <c r="F114" s="1"/>
      <c r="G114" s="1"/>
      <c r="I114" s="1"/>
      <c r="K114" s="1"/>
      <c r="N114" s="1"/>
      <c r="R114" s="1"/>
    </row>
    <row r="115" spans="5:20" x14ac:dyDescent="0.3">
      <c r="E115" s="1"/>
      <c r="F115" s="1"/>
      <c r="G115" s="1"/>
      <c r="I115" s="1"/>
      <c r="K115" s="1"/>
      <c r="P115" s="1"/>
      <c r="T115" s="1"/>
    </row>
    <row r="116" spans="5:20" x14ac:dyDescent="0.3">
      <c r="E116" s="1"/>
      <c r="F116" s="1"/>
      <c r="G116" s="1"/>
      <c r="I116" s="1"/>
      <c r="K116" s="1"/>
    </row>
    <row r="117" spans="5:20" x14ac:dyDescent="0.3">
      <c r="E117" s="1"/>
      <c r="F117" s="1"/>
      <c r="G117" s="1"/>
      <c r="I117" s="1"/>
      <c r="K117" s="1"/>
    </row>
    <row r="118" spans="5:20" x14ac:dyDescent="0.3">
      <c r="E118" s="1"/>
      <c r="F118" s="1"/>
      <c r="G118" s="1"/>
      <c r="I118" s="1"/>
      <c r="K118" s="1"/>
      <c r="N118" s="1"/>
      <c r="R118" s="1"/>
    </row>
    <row r="119" spans="5:20" x14ac:dyDescent="0.3">
      <c r="E119" s="1"/>
      <c r="F119" s="1"/>
      <c r="G119" s="1"/>
      <c r="I119" s="1"/>
      <c r="K119" s="1"/>
    </row>
    <row r="120" spans="5:20" x14ac:dyDescent="0.3">
      <c r="E120" s="1"/>
      <c r="F120" s="1"/>
      <c r="G120" s="1"/>
      <c r="H120" s="1"/>
      <c r="I120" s="1"/>
      <c r="J120" s="1"/>
      <c r="K120" s="1"/>
      <c r="M120" s="1"/>
    </row>
    <row r="121" spans="5:20" x14ac:dyDescent="0.3">
      <c r="E121" s="1"/>
      <c r="F121" s="1"/>
      <c r="G121" s="1"/>
      <c r="H121" s="1"/>
      <c r="I121" s="1"/>
      <c r="K121" s="1"/>
      <c r="M121" s="1"/>
    </row>
    <row r="122" spans="5:20" x14ac:dyDescent="0.3">
      <c r="E122" s="1"/>
      <c r="F122" s="1"/>
      <c r="G122" s="1"/>
      <c r="H122" s="1"/>
      <c r="I122" s="1"/>
      <c r="J122" s="1"/>
      <c r="K122" s="1"/>
      <c r="M122" s="1"/>
    </row>
    <row r="123" spans="5:20" x14ac:dyDescent="0.3">
      <c r="E123" s="1"/>
      <c r="F123" s="1"/>
      <c r="G123" s="1"/>
      <c r="H123" s="1"/>
      <c r="I123" s="1"/>
      <c r="K123" s="1"/>
      <c r="M123" s="1"/>
    </row>
    <row r="124" spans="5:20" x14ac:dyDescent="0.3">
      <c r="E124" s="1"/>
      <c r="F124" s="1"/>
      <c r="G124" s="1"/>
      <c r="I124" s="1"/>
      <c r="J124" s="1"/>
      <c r="K124" s="1"/>
      <c r="M124" s="1"/>
    </row>
    <row r="125" spans="5:20" x14ac:dyDescent="0.3">
      <c r="E125" s="1"/>
      <c r="F125" s="1"/>
      <c r="G125" s="1"/>
      <c r="H125" s="1"/>
      <c r="I125" s="1"/>
      <c r="K125" s="1"/>
      <c r="M125" s="1"/>
      <c r="N125" s="1"/>
      <c r="R125" s="1"/>
    </row>
    <row r="126" spans="5:20" x14ac:dyDescent="0.3">
      <c r="E126" s="1"/>
      <c r="F126" s="1"/>
      <c r="G126" s="1"/>
      <c r="H126" s="1"/>
      <c r="I126" s="1"/>
      <c r="J126" s="1"/>
      <c r="K126" s="1"/>
      <c r="M126" s="1"/>
    </row>
    <row r="127" spans="5:20" x14ac:dyDescent="0.3">
      <c r="E127" s="1"/>
      <c r="F127" s="1"/>
      <c r="G127" s="1"/>
      <c r="H127" s="1"/>
      <c r="I127" s="1"/>
      <c r="K127" s="1"/>
      <c r="M127" s="1"/>
      <c r="N127" s="1"/>
      <c r="R127" s="1"/>
    </row>
    <row r="128" spans="5:20" x14ac:dyDescent="0.3">
      <c r="E128" s="1"/>
      <c r="F128" s="1"/>
      <c r="G128" s="1"/>
      <c r="H128" s="1"/>
      <c r="I128" s="1"/>
      <c r="K128" s="1"/>
      <c r="M128" s="1"/>
      <c r="N128" s="1"/>
      <c r="R128" s="1"/>
    </row>
    <row r="129" spans="5:20" x14ac:dyDescent="0.3">
      <c r="E129" s="1"/>
      <c r="F129" s="1"/>
      <c r="G129" s="1"/>
      <c r="H129" s="1"/>
      <c r="I129" s="1"/>
      <c r="K129" s="1"/>
      <c r="M129" s="1"/>
      <c r="N129" s="1"/>
      <c r="R129" s="1"/>
    </row>
    <row r="130" spans="5:20" x14ac:dyDescent="0.3">
      <c r="E130" s="1"/>
      <c r="F130" s="1"/>
      <c r="G130" s="1"/>
      <c r="I130" s="1"/>
      <c r="K130" s="1"/>
    </row>
    <row r="131" spans="5:20" x14ac:dyDescent="0.3">
      <c r="E131" s="1"/>
      <c r="F131" s="1"/>
      <c r="G131" s="1"/>
      <c r="I131" s="1"/>
      <c r="K131" s="1"/>
      <c r="N131" s="1"/>
      <c r="R131" s="1"/>
    </row>
    <row r="132" spans="5:20" x14ac:dyDescent="0.3">
      <c r="E132" s="1"/>
      <c r="F132" s="1"/>
      <c r="G132" s="1"/>
      <c r="I132" s="1"/>
      <c r="K132" s="1"/>
      <c r="N132" s="1"/>
      <c r="R132" s="1"/>
    </row>
    <row r="133" spans="5:20" x14ac:dyDescent="0.3">
      <c r="E133" s="1"/>
      <c r="F133" s="1"/>
      <c r="G133" s="1"/>
      <c r="I133" s="1"/>
      <c r="K133" s="1"/>
    </row>
    <row r="134" spans="5:20" x14ac:dyDescent="0.3">
      <c r="E134" s="1"/>
      <c r="F134" s="1"/>
      <c r="G134" s="1"/>
      <c r="I134" s="1"/>
      <c r="K134" s="1"/>
      <c r="P134" s="1"/>
      <c r="T134" s="1"/>
    </row>
    <row r="135" spans="5:20" x14ac:dyDescent="0.3">
      <c r="E135" s="1"/>
      <c r="F135" s="1"/>
      <c r="G135" s="1"/>
      <c r="I135" s="1"/>
      <c r="K135" s="1"/>
    </row>
    <row r="136" spans="5:20" x14ac:dyDescent="0.3">
      <c r="E136" s="1"/>
      <c r="F136" s="1"/>
      <c r="G136" s="1"/>
      <c r="I136" s="1"/>
      <c r="K136" s="1"/>
      <c r="N136" s="1"/>
      <c r="R136" s="1"/>
    </row>
    <row r="137" spans="5:20" x14ac:dyDescent="0.3">
      <c r="E137" s="1"/>
      <c r="F137" s="1"/>
      <c r="G137" s="1"/>
      <c r="I137" s="1"/>
      <c r="K137" s="1"/>
    </row>
    <row r="138" spans="5:20" x14ac:dyDescent="0.3">
      <c r="E138" s="1"/>
      <c r="F138" s="1"/>
      <c r="G138" s="1"/>
      <c r="I138" s="1"/>
      <c r="K138" s="1"/>
    </row>
    <row r="139" spans="5:20" x14ac:dyDescent="0.3">
      <c r="E139" s="1"/>
      <c r="F139" s="1"/>
      <c r="G139" s="1"/>
      <c r="H139" s="1"/>
      <c r="I139" s="1"/>
      <c r="K139" s="1"/>
      <c r="M139" s="1"/>
    </row>
    <row r="140" spans="5:20" x14ac:dyDescent="0.3">
      <c r="E140" s="1"/>
      <c r="F140" s="1"/>
      <c r="G140" s="1"/>
      <c r="H140" s="1"/>
      <c r="I140" s="1"/>
      <c r="J140" s="1"/>
      <c r="K140" s="1"/>
      <c r="M140" s="1"/>
    </row>
    <row r="141" spans="5:20" x14ac:dyDescent="0.3">
      <c r="E141" s="1"/>
      <c r="F141" s="1"/>
      <c r="G141" s="1"/>
      <c r="H141" s="1"/>
      <c r="I141" s="1"/>
      <c r="J141" s="1"/>
      <c r="K141" s="1"/>
      <c r="M141" s="1"/>
    </row>
    <row r="142" spans="5:20" x14ac:dyDescent="0.3">
      <c r="E142" s="1"/>
      <c r="F142" s="1"/>
      <c r="G142" s="1"/>
      <c r="H142" s="1"/>
      <c r="I142" s="1"/>
      <c r="K142" s="1"/>
      <c r="M142" s="1"/>
    </row>
    <row r="143" spans="5:20" x14ac:dyDescent="0.3">
      <c r="E143" s="1"/>
      <c r="F143" s="1"/>
      <c r="G143" s="1"/>
      <c r="H143" s="1"/>
      <c r="I143" s="1"/>
      <c r="K143" s="1"/>
      <c r="M143" s="1"/>
    </row>
    <row r="144" spans="5:20" x14ac:dyDescent="0.3">
      <c r="E144" s="1"/>
      <c r="F144" s="1"/>
      <c r="G144" s="1"/>
      <c r="H144" s="1"/>
      <c r="I144" s="1"/>
      <c r="K144" s="1"/>
      <c r="M144" s="1"/>
      <c r="N144" s="1"/>
      <c r="R144" s="1"/>
    </row>
    <row r="145" spans="5:20" x14ac:dyDescent="0.3">
      <c r="E145" s="1"/>
      <c r="F145" s="1"/>
      <c r="G145" s="1"/>
      <c r="H145" s="1"/>
      <c r="I145" s="1"/>
      <c r="K145" s="1"/>
      <c r="M145" s="1"/>
    </row>
    <row r="146" spans="5:20" x14ac:dyDescent="0.3">
      <c r="E146" s="1"/>
      <c r="F146" s="1"/>
      <c r="G146" s="1"/>
      <c r="H146" s="1"/>
      <c r="I146" s="1"/>
      <c r="K146" s="1"/>
      <c r="M146" s="1"/>
      <c r="N146" s="1"/>
      <c r="R146" s="1"/>
    </row>
    <row r="147" spans="5:20" x14ac:dyDescent="0.3">
      <c r="E147" s="1"/>
      <c r="F147" s="1"/>
      <c r="G147" s="1"/>
      <c r="I147" s="1"/>
      <c r="K147" s="1"/>
      <c r="N147" s="1"/>
      <c r="R147" s="1"/>
    </row>
    <row r="148" spans="5:20" x14ac:dyDescent="0.3">
      <c r="E148" s="1"/>
      <c r="F148" s="1"/>
      <c r="G148" s="1"/>
      <c r="I148" s="1"/>
      <c r="K148" s="1"/>
      <c r="N148" s="1"/>
      <c r="R148" s="1"/>
    </row>
    <row r="149" spans="5:20" x14ac:dyDescent="0.3">
      <c r="E149" s="1"/>
      <c r="F149" s="1"/>
      <c r="G149" s="1"/>
      <c r="I149" s="1"/>
      <c r="K149" s="1"/>
      <c r="N149" s="1"/>
      <c r="R149" s="1"/>
    </row>
    <row r="150" spans="5:20" x14ac:dyDescent="0.3">
      <c r="E150" s="1"/>
      <c r="F150" s="1"/>
      <c r="G150" s="1"/>
      <c r="I150" s="1"/>
      <c r="K150" s="1"/>
    </row>
    <row r="151" spans="5:20" x14ac:dyDescent="0.3">
      <c r="E151" s="1"/>
      <c r="F151" s="1"/>
      <c r="G151" s="1"/>
      <c r="I151" s="1"/>
      <c r="K151" s="1"/>
      <c r="N151" s="1"/>
      <c r="P151" s="1"/>
      <c r="R151" s="1"/>
      <c r="T151" s="1"/>
    </row>
    <row r="152" spans="5:20" x14ac:dyDescent="0.3">
      <c r="E152" s="1"/>
      <c r="F152" s="1"/>
      <c r="G152" s="1"/>
      <c r="I152" s="1"/>
      <c r="K152" s="1"/>
    </row>
    <row r="153" spans="5:20" x14ac:dyDescent="0.3">
      <c r="E153" s="1"/>
      <c r="F153" s="1"/>
      <c r="G153" s="1"/>
      <c r="I153" s="1"/>
      <c r="K153" s="1"/>
    </row>
    <row r="154" spans="5:20" x14ac:dyDescent="0.3">
      <c r="E154" s="1"/>
      <c r="F154" s="1"/>
      <c r="G154" s="1"/>
      <c r="I154" s="1"/>
      <c r="K154" s="1"/>
    </row>
    <row r="155" spans="5:20" x14ac:dyDescent="0.3">
      <c r="E155" s="1"/>
      <c r="F155" s="1"/>
      <c r="G155" s="1"/>
      <c r="I155" s="1"/>
      <c r="K155" s="1"/>
      <c r="N155" s="1"/>
      <c r="R155" s="1"/>
    </row>
    <row r="156" spans="5:20" x14ac:dyDescent="0.3">
      <c r="E156" s="1"/>
      <c r="F156" s="1"/>
      <c r="G156" s="1"/>
      <c r="I156" s="1"/>
      <c r="K156" s="1"/>
    </row>
    <row r="157" spans="5:20" x14ac:dyDescent="0.3">
      <c r="E157" s="1"/>
      <c r="F157" s="1"/>
      <c r="G157" s="1"/>
      <c r="I157" s="1"/>
      <c r="J157" s="1"/>
      <c r="K157" s="1"/>
    </row>
    <row r="158" spans="5:20" x14ac:dyDescent="0.3">
      <c r="E158" s="1"/>
      <c r="F158" s="1"/>
      <c r="G158" s="1"/>
      <c r="I158" s="1"/>
      <c r="K158" s="1"/>
    </row>
    <row r="159" spans="5:20" x14ac:dyDescent="0.3">
      <c r="E159" s="1"/>
      <c r="F159" s="1"/>
      <c r="G159" s="1"/>
      <c r="I159" s="1"/>
      <c r="K159" s="1"/>
    </row>
    <row r="160" spans="5:20" x14ac:dyDescent="0.3">
      <c r="E160" s="1"/>
      <c r="F160" s="1"/>
      <c r="G160" s="1"/>
      <c r="I160" s="1"/>
      <c r="K160" s="1"/>
    </row>
    <row r="161" spans="5:18" x14ac:dyDescent="0.3">
      <c r="E161" s="1"/>
      <c r="F161" s="1"/>
      <c r="G161" s="1"/>
      <c r="I161" s="1"/>
      <c r="K161" s="1"/>
    </row>
    <row r="163" spans="5:18" x14ac:dyDescent="0.3">
      <c r="N163" s="1"/>
      <c r="R163" s="1"/>
    </row>
    <row r="164" spans="5:18" x14ac:dyDescent="0.3">
      <c r="N164" s="1"/>
      <c r="R164" s="1"/>
    </row>
    <row r="165" spans="5:18" x14ac:dyDescent="0.3">
      <c r="N165" s="1"/>
      <c r="R165" s="1"/>
    </row>
    <row r="166" spans="5:18" x14ac:dyDescent="0.3">
      <c r="N166" s="1"/>
      <c r="R166" s="1"/>
    </row>
    <row r="171" spans="5:18" x14ac:dyDescent="0.3">
      <c r="E171" s="1"/>
      <c r="F171" s="1"/>
      <c r="G171" s="1"/>
      <c r="I171" s="1"/>
      <c r="K171" s="1"/>
    </row>
    <row r="172" spans="5:18" x14ac:dyDescent="0.3">
      <c r="E172" s="1"/>
      <c r="F172" s="1"/>
      <c r="G172" s="1"/>
      <c r="I172" s="1"/>
      <c r="K172" s="1"/>
    </row>
    <row r="173" spans="5:18" x14ac:dyDescent="0.3">
      <c r="E173" s="1"/>
      <c r="F173" s="1"/>
      <c r="G173" s="1"/>
      <c r="I173" s="1"/>
      <c r="K173" s="1"/>
    </row>
    <row r="174" spans="5:18" x14ac:dyDescent="0.3">
      <c r="E174" s="1"/>
      <c r="F174" s="1"/>
      <c r="G174" s="1"/>
      <c r="I174" s="1"/>
      <c r="K174" s="1"/>
    </row>
    <row r="175" spans="5:18" x14ac:dyDescent="0.3">
      <c r="E175" s="1"/>
      <c r="F175" s="1"/>
      <c r="G175" s="1"/>
      <c r="I175" s="1"/>
      <c r="K175" s="1"/>
    </row>
    <row r="176" spans="5:18" x14ac:dyDescent="0.3">
      <c r="E176" s="1"/>
      <c r="F176" s="1"/>
      <c r="G176" s="1"/>
      <c r="I176" s="1"/>
      <c r="K176" s="1"/>
    </row>
    <row r="177" spans="5:18" x14ac:dyDescent="0.3">
      <c r="E177" s="1"/>
      <c r="F177" s="1"/>
      <c r="G177" s="1"/>
      <c r="I177" s="1"/>
      <c r="K177" s="1"/>
    </row>
    <row r="178" spans="5:18" x14ac:dyDescent="0.3">
      <c r="E178" s="1"/>
      <c r="F178" s="1"/>
      <c r="G178" s="1"/>
      <c r="I178" s="1"/>
      <c r="K178" s="1"/>
    </row>
    <row r="179" spans="5:18" x14ac:dyDescent="0.3">
      <c r="E179" s="1"/>
      <c r="F179" s="1"/>
      <c r="G179" s="1"/>
      <c r="I179" s="1"/>
      <c r="K179" s="1"/>
    </row>
    <row r="180" spans="5:18" x14ac:dyDescent="0.3">
      <c r="E180" s="1"/>
      <c r="F180" s="1"/>
      <c r="G180" s="1"/>
      <c r="I180" s="1"/>
      <c r="K180" s="1"/>
    </row>
    <row r="185" spans="5:18" x14ac:dyDescent="0.3">
      <c r="N185" s="1"/>
      <c r="R185" s="1"/>
    </row>
  </sheetData>
  <pageMargins left="0.7" right="0.7" top="0.75" bottom="0.75" header="0.3" footer="0.3"/>
  <pageSetup paperSize="11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838BF-009C-4C6D-9DF2-CEFC8B749180}">
  <sheetPr codeName="Hoja5"/>
  <dimension ref="B1:H14"/>
  <sheetViews>
    <sheetView showRowColHeaders="0" zoomScaleNormal="100" workbookViewId="0">
      <selection activeCell="E5" sqref="E5"/>
    </sheetView>
  </sheetViews>
  <sheetFormatPr baseColWidth="10" defaultColWidth="11.109375" defaultRowHeight="14.4" x14ac:dyDescent="0.3"/>
  <cols>
    <col min="1" max="1" width="8.44140625" style="14" customWidth="1"/>
    <col min="2" max="2" width="5" style="14" hidden="1" customWidth="1"/>
    <col min="3" max="3" width="6.109375" style="14" hidden="1" customWidth="1"/>
    <col min="4" max="4" width="7.88671875" style="14" customWidth="1"/>
    <col min="5" max="5" width="44.88671875" style="14" customWidth="1"/>
    <col min="6" max="6" width="6.88671875" style="15" customWidth="1"/>
    <col min="7" max="7" width="2.5546875" style="14" customWidth="1"/>
    <col min="8" max="8" width="6.109375" style="14" hidden="1" customWidth="1"/>
    <col min="9" max="9" width="1.44140625" style="14" customWidth="1"/>
    <col min="10" max="16384" width="11.109375" style="14"/>
  </cols>
  <sheetData>
    <row r="1" spans="2:8" ht="37.5" customHeight="1" thickBot="1" x14ac:dyDescent="0.35"/>
    <row r="2" spans="2:8" ht="15" customHeight="1" thickBot="1" x14ac:dyDescent="0.35">
      <c r="B2" s="13"/>
      <c r="C2" s="13"/>
      <c r="D2" s="177" t="s">
        <v>23</v>
      </c>
      <c r="E2" s="178"/>
      <c r="F2" s="179"/>
      <c r="H2" s="13"/>
    </row>
    <row r="3" spans="2:8" ht="15" customHeight="1" thickBot="1" x14ac:dyDescent="0.35">
      <c r="B3" s="13"/>
      <c r="C3" s="13"/>
      <c r="D3" s="11" t="s">
        <v>18</v>
      </c>
      <c r="E3" s="7" t="s">
        <v>19</v>
      </c>
      <c r="F3" s="12" t="s">
        <v>20</v>
      </c>
      <c r="H3" s="13"/>
    </row>
    <row r="4" spans="2:8" ht="15" customHeight="1" x14ac:dyDescent="0.3">
      <c r="B4" s="13"/>
      <c r="C4" s="8" t="e">
        <f>D$2&amp;#REF!</f>
        <v>#REF!</v>
      </c>
      <c r="D4" s="16"/>
      <c r="E4" s="17"/>
      <c r="F4" s="16"/>
      <c r="H4" s="8" t="e">
        <f>#REF!&amp;#REF!</f>
        <v>#REF!</v>
      </c>
    </row>
    <row r="5" spans="2:8" ht="15" customHeight="1" x14ac:dyDescent="0.3">
      <c r="B5" s="13"/>
      <c r="C5" s="9" t="e">
        <f>D$2&amp;#REF!</f>
        <v>#REF!</v>
      </c>
      <c r="D5" s="18"/>
      <c r="E5" s="19"/>
      <c r="F5" s="18"/>
      <c r="H5" s="9" t="e">
        <f>#REF!&amp;#REF!</f>
        <v>#REF!</v>
      </c>
    </row>
    <row r="6" spans="2:8" ht="15" customHeight="1" x14ac:dyDescent="0.3">
      <c r="B6" s="13"/>
      <c r="C6" s="9" t="e">
        <f>D$2&amp;#REF!</f>
        <v>#REF!</v>
      </c>
      <c r="D6" s="18"/>
      <c r="E6" s="19"/>
      <c r="F6" s="18"/>
      <c r="H6" s="9" t="e">
        <f>#REF!&amp;#REF!</f>
        <v>#REF!</v>
      </c>
    </row>
    <row r="7" spans="2:8" ht="15" customHeight="1" x14ac:dyDescent="0.3">
      <c r="B7" s="13"/>
      <c r="C7" s="9" t="e">
        <f>D$2&amp;#REF!</f>
        <v>#REF!</v>
      </c>
      <c r="D7" s="18"/>
      <c r="E7" s="19"/>
      <c r="F7" s="18"/>
      <c r="H7" s="9" t="e">
        <f>#REF!&amp;#REF!</f>
        <v>#REF!</v>
      </c>
    </row>
    <row r="8" spans="2:8" ht="15" customHeight="1" x14ac:dyDescent="0.3">
      <c r="B8" s="13"/>
      <c r="C8" s="9" t="e">
        <f>D$2&amp;#REF!</f>
        <v>#REF!</v>
      </c>
      <c r="D8" s="18"/>
      <c r="E8" s="19"/>
      <c r="F8" s="18"/>
      <c r="H8" s="9" t="e">
        <f>#REF!&amp;#REF!</f>
        <v>#REF!</v>
      </c>
    </row>
    <row r="9" spans="2:8" ht="15" customHeight="1" x14ac:dyDescent="0.3">
      <c r="B9" s="13"/>
      <c r="C9" s="9" t="e">
        <f>D$2&amp;#REF!</f>
        <v>#REF!</v>
      </c>
      <c r="D9" s="18"/>
      <c r="E9" s="19"/>
      <c r="F9" s="18"/>
      <c r="H9" s="9" t="e">
        <f>#REF!&amp;#REF!</f>
        <v>#REF!</v>
      </c>
    </row>
    <row r="10" spans="2:8" ht="15" customHeight="1" x14ac:dyDescent="0.3">
      <c r="B10" s="13"/>
      <c r="C10" s="9" t="e">
        <f>D$2&amp;#REF!</f>
        <v>#REF!</v>
      </c>
      <c r="D10" s="18"/>
      <c r="E10" s="19"/>
      <c r="F10" s="18"/>
      <c r="H10" s="9" t="e">
        <f>#REF!&amp;#REF!</f>
        <v>#REF!</v>
      </c>
    </row>
    <row r="11" spans="2:8" ht="15" customHeight="1" x14ac:dyDescent="0.3">
      <c r="B11" s="13"/>
      <c r="C11" s="9" t="e">
        <f>D$2&amp;#REF!</f>
        <v>#REF!</v>
      </c>
      <c r="D11" s="18"/>
      <c r="E11" s="19"/>
      <c r="F11" s="18"/>
      <c r="H11" s="9" t="e">
        <f>#REF!&amp;#REF!</f>
        <v>#REF!</v>
      </c>
    </row>
    <row r="12" spans="2:8" ht="15" customHeight="1" x14ac:dyDescent="0.3">
      <c r="B12" s="13"/>
      <c r="C12" s="9" t="e">
        <f>D$2&amp;#REF!</f>
        <v>#REF!</v>
      </c>
      <c r="D12" s="18"/>
      <c r="E12" s="19"/>
      <c r="F12" s="18"/>
      <c r="H12" s="9" t="e">
        <f>#REF!&amp;#REF!</f>
        <v>#REF!</v>
      </c>
    </row>
    <row r="13" spans="2:8" ht="15" customHeight="1" thickBot="1" x14ac:dyDescent="0.35">
      <c r="B13" s="13"/>
      <c r="C13" s="10" t="e">
        <f>D$2&amp;#REF!</f>
        <v>#REF!</v>
      </c>
      <c r="D13" s="20"/>
      <c r="E13" s="21"/>
      <c r="F13" s="20"/>
      <c r="H13" s="10" t="e">
        <f>#REF!&amp;#REF!</f>
        <v>#REF!</v>
      </c>
    </row>
    <row r="14" spans="2:8" ht="15" customHeight="1" x14ac:dyDescent="0.3"/>
  </sheetData>
  <sheetProtection selectLockedCells="1"/>
  <protectedRanges>
    <protectedRange sqref="D4:F13" name="Rango1"/>
  </protectedRanges>
  <mergeCells count="1">
    <mergeCell ref="D2:F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print="0" autoLine="0" r:id="rId4">
            <anchor>
              <from>
                <xdr:col>9</xdr:col>
                <xdr:colOff>320040</xdr:colOff>
                <xdr:row>3</xdr:row>
                <xdr:rowOff>175260</xdr:rowOff>
              </from>
              <to>
                <xdr:col>11</xdr:col>
                <xdr:colOff>167640</xdr:colOff>
                <xdr:row>7</xdr:row>
                <xdr:rowOff>53340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A2F1E-1157-4F3E-99B6-A7A40C120095}">
  <sheetPr codeName="Hoja4"/>
  <dimension ref="A1:I125"/>
  <sheetViews>
    <sheetView showGridLines="0" zoomScale="115" zoomScaleNormal="115" workbookViewId="0">
      <pane ySplit="1" topLeftCell="A2" activePane="bottomLeft" state="frozen"/>
      <selection pane="bottomLeft" activeCell="B2" sqref="B2:B16"/>
    </sheetView>
  </sheetViews>
  <sheetFormatPr baseColWidth="10" defaultColWidth="11.109375" defaultRowHeight="14.4" x14ac:dyDescent="0.3"/>
  <cols>
    <col min="1" max="1" width="10.44140625" style="55" customWidth="1"/>
    <col min="2" max="2" width="30.88671875" style="45" customWidth="1"/>
    <col min="3" max="3" width="10.44140625" style="55" customWidth="1"/>
    <col min="4" max="4" width="1.88671875" style="55" customWidth="1"/>
    <col min="5" max="5" width="10.44140625" style="55" customWidth="1"/>
    <col min="6" max="6" width="30.88671875" style="45" customWidth="1"/>
    <col min="7" max="7" width="1.88671875" style="55" customWidth="1"/>
    <col min="8" max="8" width="10.44140625" style="55" customWidth="1"/>
    <col min="9" max="9" width="34.33203125" style="45" customWidth="1"/>
    <col min="10" max="16384" width="11.109375" style="45"/>
  </cols>
  <sheetData>
    <row r="1" spans="1:9" ht="15" thickBot="1" x14ac:dyDescent="0.35">
      <c r="A1" s="11" t="s">
        <v>21</v>
      </c>
      <c r="B1" s="7" t="s">
        <v>19</v>
      </c>
      <c r="C1" s="11" t="s">
        <v>12</v>
      </c>
      <c r="D1" s="85"/>
      <c r="E1" s="11" t="s">
        <v>21</v>
      </c>
      <c r="F1" s="44" t="s">
        <v>19</v>
      </c>
      <c r="G1" s="85"/>
      <c r="H1" s="11" t="s">
        <v>21</v>
      </c>
      <c r="I1" s="44" t="s">
        <v>19</v>
      </c>
    </row>
    <row r="2" spans="1:9" x14ac:dyDescent="0.3">
      <c r="A2" s="46" t="s">
        <v>28</v>
      </c>
      <c r="B2" s="47" t="s">
        <v>43</v>
      </c>
      <c r="C2" s="46">
        <v>1</v>
      </c>
      <c r="D2" s="86"/>
      <c r="E2" s="46"/>
      <c r="F2" s="48"/>
      <c r="G2" s="86"/>
      <c r="H2" s="46"/>
      <c r="I2" s="48"/>
    </row>
    <row r="3" spans="1:9" x14ac:dyDescent="0.3">
      <c r="A3" s="49" t="s">
        <v>29</v>
      </c>
      <c r="B3" s="50" t="s">
        <v>44</v>
      </c>
      <c r="C3" s="49">
        <v>3</v>
      </c>
      <c r="D3" s="86"/>
      <c r="E3" s="49"/>
      <c r="F3" s="51"/>
      <c r="G3" s="86"/>
      <c r="H3" s="49"/>
      <c r="I3" s="51"/>
    </row>
    <row r="4" spans="1:9" x14ac:dyDescent="0.3">
      <c r="A4" s="49" t="s">
        <v>30</v>
      </c>
      <c r="B4" s="50" t="s">
        <v>57</v>
      </c>
      <c r="C4" s="49">
        <v>2</v>
      </c>
      <c r="D4" s="86"/>
      <c r="E4" s="49"/>
      <c r="F4" s="51"/>
      <c r="G4" s="86"/>
      <c r="H4" s="49"/>
      <c r="I4" s="51"/>
    </row>
    <row r="5" spans="1:9" x14ac:dyDescent="0.3">
      <c r="A5" s="49" t="s">
        <v>31</v>
      </c>
      <c r="B5" s="50" t="s">
        <v>45</v>
      </c>
      <c r="C5" s="49">
        <v>1</v>
      </c>
      <c r="D5" s="86"/>
      <c r="E5" s="49"/>
      <c r="F5" s="51"/>
      <c r="G5" s="86"/>
      <c r="H5" s="49"/>
      <c r="I5" s="51"/>
    </row>
    <row r="6" spans="1:9" x14ac:dyDescent="0.3">
      <c r="A6" s="49" t="s">
        <v>32</v>
      </c>
      <c r="B6" s="50" t="s">
        <v>46</v>
      </c>
      <c r="C6" s="49">
        <v>1</v>
      </c>
      <c r="D6" s="86"/>
      <c r="E6" s="49"/>
      <c r="F6" s="51"/>
      <c r="G6" s="86"/>
      <c r="H6" s="49"/>
      <c r="I6" s="51"/>
    </row>
    <row r="7" spans="1:9" x14ac:dyDescent="0.3">
      <c r="A7" s="49" t="s">
        <v>33</v>
      </c>
      <c r="B7" s="50" t="s">
        <v>47</v>
      </c>
      <c r="C7" s="49">
        <v>2</v>
      </c>
      <c r="D7" s="86"/>
      <c r="E7" s="49"/>
      <c r="F7" s="51"/>
      <c r="G7" s="86"/>
      <c r="H7" s="49"/>
      <c r="I7" s="51"/>
    </row>
    <row r="8" spans="1:9" x14ac:dyDescent="0.3">
      <c r="A8" s="49" t="s">
        <v>34</v>
      </c>
      <c r="B8" s="50" t="s">
        <v>48</v>
      </c>
      <c r="C8" s="49">
        <v>1</v>
      </c>
      <c r="D8" s="86"/>
      <c r="E8" s="49"/>
      <c r="F8" s="51"/>
      <c r="G8" s="86"/>
      <c r="H8" s="49"/>
      <c r="I8" s="51"/>
    </row>
    <row r="9" spans="1:9" x14ac:dyDescent="0.3">
      <c r="A9" s="49" t="s">
        <v>35</v>
      </c>
      <c r="B9" s="50" t="s">
        <v>58</v>
      </c>
      <c r="C9" s="49">
        <v>1</v>
      </c>
      <c r="D9" s="86"/>
      <c r="E9" s="49"/>
      <c r="F9" s="51"/>
      <c r="G9" s="86"/>
      <c r="H9" s="49"/>
      <c r="I9" s="51"/>
    </row>
    <row r="10" spans="1:9" x14ac:dyDescent="0.3">
      <c r="A10" s="49" t="s">
        <v>36</v>
      </c>
      <c r="B10" s="50" t="s">
        <v>59</v>
      </c>
      <c r="C10" s="49">
        <v>2</v>
      </c>
      <c r="D10" s="86"/>
      <c r="E10" s="49"/>
      <c r="F10" s="51"/>
      <c r="G10" s="86"/>
      <c r="H10" s="49"/>
      <c r="I10" s="51"/>
    </row>
    <row r="11" spans="1:9" x14ac:dyDescent="0.3">
      <c r="A11" s="49" t="s">
        <v>37</v>
      </c>
      <c r="B11" s="50" t="s">
        <v>49</v>
      </c>
      <c r="C11" s="49">
        <v>2</v>
      </c>
      <c r="D11" s="86"/>
      <c r="E11" s="49"/>
      <c r="F11" s="51"/>
      <c r="G11" s="86"/>
      <c r="H11" s="49"/>
      <c r="I11" s="51"/>
    </row>
    <row r="12" spans="1:9" x14ac:dyDescent="0.3">
      <c r="A12" s="49" t="s">
        <v>38</v>
      </c>
      <c r="B12" s="50" t="s">
        <v>50</v>
      </c>
      <c r="C12" s="49">
        <v>3</v>
      </c>
      <c r="D12" s="86"/>
      <c r="E12" s="49"/>
      <c r="F12" s="51"/>
      <c r="G12" s="86"/>
      <c r="H12" s="49"/>
      <c r="I12" s="51"/>
    </row>
    <row r="13" spans="1:9" x14ac:dyDescent="0.3">
      <c r="A13" s="49" t="s">
        <v>39</v>
      </c>
      <c r="B13" s="50" t="s">
        <v>51</v>
      </c>
      <c r="C13" s="49">
        <v>3</v>
      </c>
      <c r="D13" s="86"/>
      <c r="E13" s="49"/>
      <c r="F13" s="51"/>
      <c r="G13" s="86"/>
      <c r="H13" s="49"/>
      <c r="I13" s="51"/>
    </row>
    <row r="14" spans="1:9" x14ac:dyDescent="0.3">
      <c r="A14" s="49" t="s">
        <v>40</v>
      </c>
      <c r="B14" s="50" t="s">
        <v>52</v>
      </c>
      <c r="C14" s="49">
        <v>3</v>
      </c>
      <c r="D14" s="86"/>
      <c r="E14" s="49"/>
      <c r="F14" s="51"/>
      <c r="G14" s="86"/>
      <c r="H14" s="49"/>
      <c r="I14" s="50"/>
    </row>
    <row r="15" spans="1:9" x14ac:dyDescent="0.3">
      <c r="A15" s="49" t="s">
        <v>41</v>
      </c>
      <c r="B15" s="50" t="s">
        <v>53</v>
      </c>
      <c r="C15" s="49">
        <v>1</v>
      </c>
      <c r="D15" s="86"/>
      <c r="E15" s="49"/>
      <c r="F15" s="51"/>
      <c r="G15" s="86"/>
      <c r="H15" s="49"/>
      <c r="I15" s="51"/>
    </row>
    <row r="16" spans="1:9" x14ac:dyDescent="0.3">
      <c r="A16" s="49" t="s">
        <v>42</v>
      </c>
      <c r="B16" s="50" t="s">
        <v>54</v>
      </c>
      <c r="C16" s="49">
        <v>1</v>
      </c>
      <c r="D16" s="86"/>
      <c r="E16" s="49"/>
      <c r="F16" s="51"/>
      <c r="G16" s="86"/>
      <c r="H16" s="49"/>
      <c r="I16" s="51"/>
    </row>
    <row r="17" spans="1:9" x14ac:dyDescent="0.3">
      <c r="A17" s="49"/>
      <c r="B17" s="50"/>
      <c r="C17" s="49"/>
      <c r="D17" s="86"/>
      <c r="E17" s="49"/>
      <c r="F17" s="51"/>
      <c r="G17" s="86"/>
      <c r="H17" s="49"/>
      <c r="I17" s="51"/>
    </row>
    <row r="18" spans="1:9" x14ac:dyDescent="0.3">
      <c r="A18" s="49"/>
      <c r="B18" s="50"/>
      <c r="C18" s="49"/>
      <c r="D18" s="86"/>
      <c r="E18" s="49"/>
      <c r="F18" s="51"/>
      <c r="G18" s="86"/>
      <c r="H18" s="49"/>
      <c r="I18" s="51"/>
    </row>
    <row r="19" spans="1:9" x14ac:dyDescent="0.3">
      <c r="A19" s="49"/>
      <c r="B19" s="50"/>
      <c r="C19" s="49"/>
      <c r="D19" s="86"/>
      <c r="E19" s="49"/>
      <c r="F19" s="51"/>
      <c r="G19" s="86"/>
      <c r="H19" s="49"/>
      <c r="I19" s="51"/>
    </row>
    <row r="20" spans="1:9" x14ac:dyDescent="0.3">
      <c r="A20" s="49"/>
      <c r="B20" s="50"/>
      <c r="C20" s="49"/>
      <c r="D20" s="86"/>
      <c r="E20" s="49"/>
      <c r="F20" s="51"/>
      <c r="G20" s="86"/>
      <c r="H20" s="49"/>
      <c r="I20" s="51"/>
    </row>
    <row r="21" spans="1:9" x14ac:dyDescent="0.3">
      <c r="A21" s="49"/>
      <c r="B21" s="50"/>
      <c r="C21" s="49"/>
      <c r="D21" s="86"/>
      <c r="E21" s="49"/>
      <c r="F21" s="51"/>
      <c r="G21" s="86"/>
      <c r="H21" s="49"/>
      <c r="I21" s="51"/>
    </row>
    <row r="22" spans="1:9" x14ac:dyDescent="0.3">
      <c r="A22" s="49"/>
      <c r="B22" s="50"/>
      <c r="C22" s="49"/>
      <c r="D22" s="86"/>
      <c r="E22" s="49"/>
      <c r="F22" s="51"/>
      <c r="G22" s="86"/>
      <c r="H22" s="49"/>
      <c r="I22" s="51"/>
    </row>
    <row r="23" spans="1:9" x14ac:dyDescent="0.3">
      <c r="A23" s="49"/>
      <c r="B23" s="50"/>
      <c r="C23" s="49"/>
      <c r="D23" s="86"/>
      <c r="E23" s="49"/>
      <c r="F23" s="51"/>
      <c r="G23" s="86"/>
      <c r="H23" s="49"/>
      <c r="I23" s="51"/>
    </row>
    <row r="24" spans="1:9" x14ac:dyDescent="0.3">
      <c r="A24" s="49"/>
      <c r="B24" s="50"/>
      <c r="C24" s="49"/>
      <c r="D24" s="86"/>
      <c r="E24" s="49"/>
      <c r="F24" s="51"/>
      <c r="G24" s="86"/>
      <c r="H24" s="49"/>
      <c r="I24" s="51"/>
    </row>
    <row r="25" spans="1:9" x14ac:dyDescent="0.3">
      <c r="A25" s="49"/>
      <c r="B25" s="50"/>
      <c r="C25" s="49"/>
      <c r="D25" s="86"/>
      <c r="E25" s="49"/>
      <c r="F25" s="51"/>
      <c r="G25" s="86"/>
      <c r="H25" s="49"/>
      <c r="I25" s="51"/>
    </row>
    <row r="26" spans="1:9" x14ac:dyDescent="0.3">
      <c r="A26" s="49"/>
      <c r="B26" s="50"/>
      <c r="C26" s="49"/>
      <c r="D26" s="86"/>
      <c r="E26" s="49"/>
      <c r="F26" s="51"/>
      <c r="G26" s="86"/>
      <c r="H26" s="49"/>
      <c r="I26" s="51"/>
    </row>
    <row r="27" spans="1:9" x14ac:dyDescent="0.3">
      <c r="A27" s="49"/>
      <c r="B27" s="50"/>
      <c r="C27" s="49"/>
      <c r="D27" s="86"/>
      <c r="E27" s="49"/>
      <c r="F27" s="51"/>
      <c r="G27" s="86"/>
      <c r="H27" s="49"/>
      <c r="I27" s="51"/>
    </row>
    <row r="28" spans="1:9" x14ac:dyDescent="0.3">
      <c r="A28" s="49"/>
      <c r="B28" s="50"/>
      <c r="C28" s="49"/>
      <c r="D28" s="86"/>
      <c r="E28" s="49"/>
      <c r="F28" s="51"/>
      <c r="G28" s="86"/>
      <c r="H28" s="49"/>
      <c r="I28" s="51"/>
    </row>
    <row r="29" spans="1:9" x14ac:dyDescent="0.3">
      <c r="A29" s="49"/>
      <c r="B29" s="50"/>
      <c r="C29" s="49"/>
      <c r="D29" s="86"/>
      <c r="E29" s="49"/>
      <c r="F29" s="50"/>
      <c r="G29" s="86"/>
      <c r="H29" s="49"/>
      <c r="I29" s="51"/>
    </row>
    <row r="30" spans="1:9" x14ac:dyDescent="0.3">
      <c r="A30" s="49"/>
      <c r="B30" s="50"/>
      <c r="C30" s="49"/>
      <c r="D30" s="86"/>
      <c r="E30" s="49"/>
      <c r="F30" s="51"/>
      <c r="G30" s="86"/>
      <c r="H30" s="49"/>
      <c r="I30" s="51"/>
    </row>
    <row r="31" spans="1:9" x14ac:dyDescent="0.3">
      <c r="A31" s="49"/>
      <c r="B31" s="50"/>
      <c r="C31" s="49"/>
      <c r="D31" s="86"/>
      <c r="E31" s="49"/>
      <c r="F31" s="51"/>
      <c r="G31" s="86"/>
      <c r="H31" s="49"/>
      <c r="I31" s="51"/>
    </row>
    <row r="32" spans="1:9" x14ac:dyDescent="0.3">
      <c r="A32" s="49"/>
      <c r="B32" s="50"/>
      <c r="C32" s="49"/>
      <c r="D32" s="86"/>
      <c r="E32" s="49"/>
      <c r="F32" s="51"/>
      <c r="G32" s="86"/>
      <c r="H32" s="49"/>
      <c r="I32" s="51"/>
    </row>
    <row r="33" spans="1:9" x14ac:dyDescent="0.3">
      <c r="A33" s="49"/>
      <c r="B33" s="50"/>
      <c r="C33" s="49"/>
      <c r="D33" s="86"/>
      <c r="E33" s="49"/>
      <c r="F33" s="50"/>
      <c r="G33" s="49"/>
      <c r="H33" s="49"/>
      <c r="I33" s="51"/>
    </row>
    <row r="34" spans="1:9" x14ac:dyDescent="0.3">
      <c r="A34" s="49"/>
      <c r="B34" s="50"/>
      <c r="C34" s="49"/>
      <c r="D34" s="86"/>
      <c r="E34" s="49"/>
      <c r="F34" s="51"/>
      <c r="G34" s="86"/>
      <c r="H34" s="49"/>
      <c r="I34" s="51"/>
    </row>
    <row r="35" spans="1:9" x14ac:dyDescent="0.3">
      <c r="A35" s="49"/>
      <c r="B35" s="50"/>
      <c r="C35" s="49"/>
      <c r="D35" s="86"/>
      <c r="E35" s="49"/>
      <c r="F35" s="51"/>
      <c r="G35" s="86"/>
      <c r="H35" s="49"/>
      <c r="I35" s="51"/>
    </row>
    <row r="36" spans="1:9" x14ac:dyDescent="0.3">
      <c r="A36" s="49"/>
      <c r="B36" s="50"/>
      <c r="C36" s="49"/>
      <c r="D36" s="86"/>
      <c r="E36" s="49"/>
      <c r="F36" s="51"/>
      <c r="G36" s="86"/>
      <c r="H36" s="49"/>
      <c r="I36" s="51"/>
    </row>
    <row r="37" spans="1:9" x14ac:dyDescent="0.3">
      <c r="A37" s="49"/>
      <c r="B37" s="50"/>
      <c r="C37" s="49"/>
      <c r="D37" s="86"/>
      <c r="E37" s="49"/>
      <c r="F37" s="51"/>
      <c r="G37" s="86"/>
      <c r="H37" s="49"/>
      <c r="I37" s="51"/>
    </row>
    <row r="38" spans="1:9" x14ac:dyDescent="0.3">
      <c r="A38" s="49"/>
      <c r="B38" s="50"/>
      <c r="C38" s="49"/>
      <c r="D38" s="86"/>
      <c r="E38" s="49"/>
      <c r="F38" s="51"/>
      <c r="G38" s="86"/>
      <c r="H38" s="49"/>
      <c r="I38" s="51"/>
    </row>
    <row r="39" spans="1:9" x14ac:dyDescent="0.3">
      <c r="A39" s="49"/>
      <c r="B39" s="50"/>
      <c r="C39" s="49"/>
      <c r="D39" s="86"/>
      <c r="E39" s="49"/>
      <c r="F39" s="51"/>
      <c r="G39" s="86"/>
      <c r="H39" s="49"/>
      <c r="I39" s="51"/>
    </row>
    <row r="40" spans="1:9" x14ac:dyDescent="0.3">
      <c r="A40" s="49"/>
      <c r="B40" s="50"/>
      <c r="C40" s="49"/>
      <c r="D40" s="86"/>
      <c r="E40" s="49"/>
      <c r="F40" s="51"/>
      <c r="G40" s="86"/>
      <c r="H40" s="49"/>
      <c r="I40" s="51"/>
    </row>
    <row r="41" spans="1:9" x14ac:dyDescent="0.3">
      <c r="A41" s="49"/>
      <c r="B41" s="50"/>
      <c r="C41" s="49"/>
      <c r="D41" s="86"/>
      <c r="E41" s="49"/>
      <c r="F41" s="51"/>
      <c r="G41" s="86"/>
      <c r="H41" s="49"/>
      <c r="I41" s="51"/>
    </row>
    <row r="42" spans="1:9" x14ac:dyDescent="0.3">
      <c r="A42" s="49"/>
      <c r="B42" s="50"/>
      <c r="C42" s="49"/>
      <c r="D42" s="86"/>
      <c r="E42" s="49"/>
      <c r="F42" s="51"/>
      <c r="G42" s="86"/>
      <c r="H42" s="49"/>
      <c r="I42" s="51"/>
    </row>
    <row r="43" spans="1:9" x14ac:dyDescent="0.3">
      <c r="A43" s="49"/>
      <c r="B43" s="50"/>
      <c r="C43" s="49"/>
      <c r="D43" s="86"/>
      <c r="E43" s="49"/>
      <c r="F43" s="51"/>
      <c r="G43" s="86"/>
      <c r="H43" s="49"/>
      <c r="I43" s="51"/>
    </row>
    <row r="44" spans="1:9" x14ac:dyDescent="0.3">
      <c r="A44" s="49"/>
      <c r="B44" s="50"/>
      <c r="C44" s="49"/>
      <c r="D44" s="86"/>
      <c r="E44" s="49"/>
      <c r="F44" s="51"/>
      <c r="G44" s="86"/>
      <c r="H44" s="49"/>
      <c r="I44" s="51"/>
    </row>
    <row r="45" spans="1:9" x14ac:dyDescent="0.3">
      <c r="A45" s="49"/>
      <c r="B45" s="50"/>
      <c r="C45" s="49"/>
      <c r="D45" s="86"/>
      <c r="E45" s="49"/>
      <c r="F45" s="51"/>
      <c r="G45" s="86"/>
      <c r="H45" s="49"/>
      <c r="I45" s="51"/>
    </row>
    <row r="46" spans="1:9" x14ac:dyDescent="0.3">
      <c r="A46" s="49"/>
      <c r="B46" s="50"/>
      <c r="C46" s="49"/>
      <c r="D46" s="86"/>
      <c r="E46" s="49"/>
      <c r="F46" s="51"/>
      <c r="G46" s="86"/>
      <c r="H46" s="49"/>
      <c r="I46" s="51"/>
    </row>
    <row r="47" spans="1:9" x14ac:dyDescent="0.3">
      <c r="A47" s="49"/>
      <c r="B47" s="50"/>
      <c r="C47" s="49"/>
      <c r="D47" s="86"/>
      <c r="E47" s="49"/>
      <c r="F47" s="51"/>
      <c r="G47" s="86"/>
      <c r="H47" s="49"/>
      <c r="I47" s="51"/>
    </row>
    <row r="48" spans="1:9" x14ac:dyDescent="0.3">
      <c r="A48" s="49"/>
      <c r="B48" s="50"/>
      <c r="C48" s="49"/>
      <c r="D48" s="86"/>
      <c r="E48" s="49"/>
      <c r="F48" s="51"/>
      <c r="G48" s="86"/>
      <c r="H48" s="49"/>
      <c r="I48" s="51"/>
    </row>
    <row r="49" spans="1:9" x14ac:dyDescent="0.3">
      <c r="A49" s="49"/>
      <c r="B49" s="50"/>
      <c r="C49" s="49"/>
      <c r="D49" s="86"/>
      <c r="E49" s="49"/>
      <c r="F49" s="51"/>
      <c r="G49" s="86"/>
      <c r="H49" s="49"/>
      <c r="I49" s="51"/>
    </row>
    <row r="50" spans="1:9" x14ac:dyDescent="0.3">
      <c r="A50" s="49"/>
      <c r="B50" s="50"/>
      <c r="C50" s="49"/>
      <c r="D50" s="86"/>
      <c r="E50" s="49"/>
      <c r="F50" s="51"/>
      <c r="G50" s="86"/>
      <c r="H50" s="49"/>
      <c r="I50" s="51"/>
    </row>
    <row r="51" spans="1:9" x14ac:dyDescent="0.3">
      <c r="A51" s="49"/>
      <c r="B51" s="50"/>
      <c r="C51" s="49"/>
      <c r="D51" s="86"/>
      <c r="E51" s="49"/>
      <c r="F51" s="51"/>
      <c r="G51" s="86"/>
      <c r="H51" s="49"/>
      <c r="I51" s="51"/>
    </row>
    <row r="52" spans="1:9" x14ac:dyDescent="0.3">
      <c r="A52" s="49"/>
      <c r="B52" s="50"/>
      <c r="C52" s="49"/>
      <c r="D52" s="86"/>
      <c r="E52" s="49"/>
      <c r="F52" s="51"/>
      <c r="G52" s="86"/>
      <c r="H52" s="49"/>
      <c r="I52" s="51"/>
    </row>
    <row r="53" spans="1:9" x14ac:dyDescent="0.3">
      <c r="A53" s="49"/>
      <c r="B53" s="50"/>
      <c r="C53" s="49"/>
      <c r="D53" s="86"/>
      <c r="E53" s="49"/>
      <c r="F53" s="51"/>
      <c r="G53" s="86"/>
      <c r="H53" s="49"/>
      <c r="I53" s="51"/>
    </row>
    <row r="54" spans="1:9" x14ac:dyDescent="0.3">
      <c r="A54" s="49"/>
      <c r="B54" s="50"/>
      <c r="C54" s="49"/>
      <c r="D54" s="86"/>
      <c r="E54" s="49"/>
      <c r="F54" s="51"/>
      <c r="G54" s="86"/>
      <c r="H54" s="49"/>
      <c r="I54" s="51"/>
    </row>
    <row r="55" spans="1:9" x14ac:dyDescent="0.3">
      <c r="A55" s="49"/>
      <c r="B55" s="50"/>
      <c r="C55" s="49"/>
      <c r="D55" s="86"/>
      <c r="E55" s="49"/>
      <c r="F55" s="51"/>
      <c r="G55" s="86"/>
      <c r="H55" s="49"/>
      <c r="I55" s="51"/>
    </row>
    <row r="56" spans="1:9" x14ac:dyDescent="0.3">
      <c r="A56" s="49"/>
      <c r="B56" s="50"/>
      <c r="C56" s="49"/>
      <c r="D56" s="86"/>
      <c r="E56" s="49"/>
      <c r="F56" s="51"/>
      <c r="G56" s="86"/>
      <c r="H56" s="49"/>
      <c r="I56" s="51"/>
    </row>
    <row r="57" spans="1:9" x14ac:dyDescent="0.3">
      <c r="A57" s="49"/>
      <c r="B57" s="50"/>
      <c r="C57" s="49"/>
      <c r="D57" s="86"/>
      <c r="E57" s="49"/>
      <c r="F57" s="51"/>
      <c r="G57" s="86"/>
      <c r="H57" s="49"/>
      <c r="I57" s="51"/>
    </row>
    <row r="58" spans="1:9" x14ac:dyDescent="0.3">
      <c r="A58" s="49"/>
      <c r="B58" s="50"/>
      <c r="C58" s="49"/>
      <c r="D58" s="86"/>
      <c r="E58" s="49"/>
      <c r="F58" s="51"/>
      <c r="G58" s="86"/>
      <c r="H58" s="49"/>
      <c r="I58" s="51"/>
    </row>
    <row r="59" spans="1:9" x14ac:dyDescent="0.3">
      <c r="A59" s="49"/>
      <c r="B59" s="50"/>
      <c r="C59" s="49"/>
      <c r="D59" s="86"/>
      <c r="E59" s="49"/>
      <c r="F59" s="51"/>
      <c r="G59" s="86"/>
      <c r="H59" s="49"/>
      <c r="I59" s="51"/>
    </row>
    <row r="60" spans="1:9" x14ac:dyDescent="0.3">
      <c r="A60" s="49"/>
      <c r="B60" s="50"/>
      <c r="C60" s="49"/>
      <c r="D60" s="86"/>
      <c r="E60" s="49"/>
      <c r="F60" s="51"/>
      <c r="G60" s="86"/>
      <c r="H60" s="49"/>
      <c r="I60" s="51"/>
    </row>
    <row r="61" spans="1:9" x14ac:dyDescent="0.3">
      <c r="A61" s="49"/>
      <c r="B61" s="50"/>
      <c r="C61" s="49"/>
      <c r="D61" s="86"/>
      <c r="E61" s="49"/>
      <c r="F61" s="51"/>
      <c r="G61" s="86"/>
      <c r="H61" s="49"/>
      <c r="I61" s="51"/>
    </row>
    <row r="62" spans="1:9" x14ac:dyDescent="0.3">
      <c r="A62" s="49"/>
      <c r="B62" s="50"/>
      <c r="C62" s="49"/>
      <c r="D62" s="86"/>
      <c r="E62" s="49"/>
      <c r="F62" s="51"/>
      <c r="G62" s="86"/>
      <c r="H62" s="49"/>
      <c r="I62" s="51"/>
    </row>
    <row r="63" spans="1:9" x14ac:dyDescent="0.3">
      <c r="A63" s="49"/>
      <c r="B63" s="50"/>
      <c r="C63" s="49"/>
      <c r="D63" s="86"/>
      <c r="E63" s="49"/>
      <c r="F63" s="51"/>
      <c r="G63" s="86"/>
      <c r="H63" s="49"/>
      <c r="I63" s="51"/>
    </row>
    <row r="64" spans="1:9" x14ac:dyDescent="0.3">
      <c r="A64" s="49"/>
      <c r="B64" s="50"/>
      <c r="C64" s="49"/>
      <c r="D64" s="86"/>
      <c r="E64" s="49"/>
      <c r="F64" s="51"/>
      <c r="G64" s="86"/>
      <c r="H64" s="49"/>
      <c r="I64" s="51"/>
    </row>
    <row r="65" spans="1:9" x14ac:dyDescent="0.3">
      <c r="A65" s="49"/>
      <c r="B65" s="50"/>
      <c r="C65" s="49"/>
      <c r="D65" s="86"/>
      <c r="E65" s="49"/>
      <c r="F65" s="51"/>
      <c r="G65" s="86"/>
      <c r="H65" s="49"/>
      <c r="I65" s="51"/>
    </row>
    <row r="66" spans="1:9" x14ac:dyDescent="0.3">
      <c r="A66" s="49"/>
      <c r="B66" s="50"/>
      <c r="C66" s="49"/>
      <c r="D66" s="86"/>
      <c r="E66" s="49"/>
      <c r="F66" s="51"/>
      <c r="G66" s="86"/>
      <c r="H66" s="49"/>
      <c r="I66" s="51"/>
    </row>
    <row r="67" spans="1:9" x14ac:dyDescent="0.3">
      <c r="A67" s="49"/>
      <c r="B67" s="50"/>
      <c r="C67" s="49"/>
      <c r="D67" s="86"/>
      <c r="E67" s="49"/>
      <c r="F67" s="51"/>
      <c r="G67" s="86"/>
      <c r="H67" s="49"/>
      <c r="I67" s="51"/>
    </row>
    <row r="68" spans="1:9" x14ac:dyDescent="0.3">
      <c r="A68" s="49"/>
      <c r="B68" s="50"/>
      <c r="C68" s="49"/>
      <c r="D68" s="86"/>
      <c r="E68" s="49"/>
      <c r="F68" s="51"/>
      <c r="G68" s="86"/>
      <c r="H68" s="49"/>
      <c r="I68" s="51"/>
    </row>
    <row r="69" spans="1:9" x14ac:dyDescent="0.3">
      <c r="A69" s="49"/>
      <c r="B69" s="50"/>
      <c r="C69" s="49"/>
      <c r="D69" s="86"/>
      <c r="E69" s="49"/>
      <c r="F69" s="51"/>
      <c r="G69" s="86"/>
      <c r="H69" s="49"/>
      <c r="I69" s="51"/>
    </row>
    <row r="70" spans="1:9" x14ac:dyDescent="0.3">
      <c r="A70" s="49"/>
      <c r="B70" s="50"/>
      <c r="C70" s="49"/>
      <c r="D70" s="86"/>
      <c r="E70" s="49"/>
      <c r="F70" s="51"/>
      <c r="G70" s="86"/>
      <c r="H70" s="49"/>
      <c r="I70" s="51"/>
    </row>
    <row r="71" spans="1:9" x14ac:dyDescent="0.3">
      <c r="A71" s="49"/>
      <c r="B71" s="50"/>
      <c r="C71" s="49"/>
      <c r="D71" s="86"/>
      <c r="E71" s="49"/>
      <c r="F71" s="51"/>
      <c r="G71" s="86"/>
      <c r="H71" s="49"/>
      <c r="I71" s="51"/>
    </row>
    <row r="72" spans="1:9" x14ac:dyDescent="0.3">
      <c r="A72" s="49"/>
      <c r="B72" s="50"/>
      <c r="C72" s="49"/>
      <c r="D72" s="86"/>
      <c r="E72" s="49"/>
      <c r="F72" s="51"/>
      <c r="G72" s="86"/>
      <c r="H72" s="49"/>
      <c r="I72" s="51"/>
    </row>
    <row r="73" spans="1:9" x14ac:dyDescent="0.3">
      <c r="A73" s="49"/>
      <c r="B73" s="50"/>
      <c r="C73" s="49"/>
      <c r="D73" s="86"/>
      <c r="E73" s="49"/>
      <c r="F73" s="51"/>
      <c r="G73" s="86"/>
      <c r="H73" s="49"/>
      <c r="I73" s="51"/>
    </row>
    <row r="74" spans="1:9" x14ac:dyDescent="0.3">
      <c r="A74" s="49"/>
      <c r="B74" s="50"/>
      <c r="C74" s="49"/>
      <c r="D74" s="86"/>
      <c r="E74" s="49"/>
      <c r="F74" s="51"/>
      <c r="G74" s="86"/>
      <c r="H74" s="49"/>
      <c r="I74" s="51"/>
    </row>
    <row r="75" spans="1:9" x14ac:dyDescent="0.3">
      <c r="A75" s="49"/>
      <c r="B75" s="50"/>
      <c r="C75" s="49"/>
      <c r="D75" s="86"/>
      <c r="E75" s="49"/>
      <c r="F75" s="51"/>
      <c r="G75" s="86"/>
      <c r="H75" s="49"/>
      <c r="I75" s="51"/>
    </row>
    <row r="76" spans="1:9" x14ac:dyDescent="0.3">
      <c r="A76" s="49"/>
      <c r="B76" s="50"/>
      <c r="C76" s="49"/>
      <c r="D76" s="86"/>
      <c r="E76" s="49"/>
      <c r="F76" s="51"/>
      <c r="G76" s="86"/>
      <c r="H76" s="49"/>
      <c r="I76" s="51"/>
    </row>
    <row r="77" spans="1:9" x14ac:dyDescent="0.3">
      <c r="A77" s="49"/>
      <c r="B77" s="50"/>
      <c r="C77" s="49"/>
      <c r="D77" s="86"/>
      <c r="E77" s="49"/>
      <c r="F77" s="51"/>
      <c r="G77" s="86"/>
      <c r="H77" s="49"/>
      <c r="I77" s="51"/>
    </row>
    <row r="78" spans="1:9" x14ac:dyDescent="0.3">
      <c r="A78" s="49"/>
      <c r="B78" s="50"/>
      <c r="C78" s="49"/>
      <c r="D78" s="86"/>
      <c r="E78" s="49"/>
      <c r="F78" s="51"/>
      <c r="G78" s="86"/>
      <c r="H78" s="49"/>
      <c r="I78" s="51"/>
    </row>
    <row r="79" spans="1:9" x14ac:dyDescent="0.3">
      <c r="A79" s="49"/>
      <c r="B79" s="50"/>
      <c r="C79" s="49"/>
      <c r="D79" s="86"/>
      <c r="E79" s="49"/>
      <c r="F79" s="51"/>
      <c r="G79" s="86"/>
      <c r="H79" s="49"/>
      <c r="I79" s="51"/>
    </row>
    <row r="80" spans="1:9" x14ac:dyDescent="0.3">
      <c r="A80" s="49"/>
      <c r="B80" s="50"/>
      <c r="C80" s="49"/>
      <c r="D80" s="86"/>
      <c r="E80" s="49"/>
      <c r="F80" s="51"/>
      <c r="G80" s="86"/>
      <c r="H80" s="49"/>
      <c r="I80" s="51"/>
    </row>
    <row r="81" spans="1:9" x14ac:dyDescent="0.3">
      <c r="A81" s="49"/>
      <c r="B81" s="50"/>
      <c r="C81" s="49"/>
      <c r="D81" s="86"/>
      <c r="E81" s="49"/>
      <c r="F81" s="51"/>
      <c r="G81" s="86"/>
      <c r="H81" s="49"/>
      <c r="I81" s="51"/>
    </row>
    <row r="82" spans="1:9" x14ac:dyDescent="0.3">
      <c r="A82" s="49"/>
      <c r="B82" s="50"/>
      <c r="C82" s="49"/>
      <c r="D82" s="86"/>
      <c r="E82" s="49"/>
      <c r="F82" s="51"/>
      <c r="G82" s="86"/>
      <c r="H82" s="49"/>
      <c r="I82" s="51"/>
    </row>
    <row r="83" spans="1:9" x14ac:dyDescent="0.3">
      <c r="A83" s="49"/>
      <c r="B83" s="50"/>
      <c r="C83" s="49"/>
      <c r="D83" s="86"/>
      <c r="E83" s="49"/>
      <c r="F83" s="51"/>
      <c r="G83" s="86"/>
      <c r="H83" s="49"/>
      <c r="I83" s="51"/>
    </row>
    <row r="84" spans="1:9" x14ac:dyDescent="0.3">
      <c r="A84" s="49"/>
      <c r="B84" s="50"/>
      <c r="C84" s="49"/>
      <c r="D84" s="86"/>
      <c r="E84" s="49"/>
      <c r="F84" s="51"/>
      <c r="G84" s="86"/>
      <c r="H84" s="49"/>
      <c r="I84" s="51"/>
    </row>
    <row r="85" spans="1:9" x14ac:dyDescent="0.3">
      <c r="A85" s="49"/>
      <c r="B85" s="50"/>
      <c r="C85" s="49"/>
      <c r="D85" s="86"/>
      <c r="E85" s="49"/>
      <c r="F85" s="51"/>
      <c r="G85" s="86"/>
      <c r="H85" s="49"/>
      <c r="I85" s="51"/>
    </row>
    <row r="86" spans="1:9" x14ac:dyDescent="0.3">
      <c r="A86" s="49"/>
      <c r="B86" s="50"/>
      <c r="C86" s="49"/>
      <c r="D86" s="86"/>
      <c r="E86" s="49"/>
      <c r="F86" s="51"/>
      <c r="G86" s="86"/>
      <c r="H86" s="49"/>
      <c r="I86" s="51"/>
    </row>
    <row r="87" spans="1:9" x14ac:dyDescent="0.3">
      <c r="A87" s="49"/>
      <c r="B87" s="50"/>
      <c r="C87" s="49"/>
      <c r="D87" s="86"/>
      <c r="E87" s="49"/>
      <c r="F87" s="51"/>
      <c r="G87" s="86"/>
      <c r="H87" s="49"/>
      <c r="I87" s="51"/>
    </row>
    <row r="88" spans="1:9" x14ac:dyDescent="0.3">
      <c r="A88" s="49"/>
      <c r="B88" s="50"/>
      <c r="C88" s="49"/>
      <c r="D88" s="86"/>
      <c r="E88" s="49"/>
      <c r="F88" s="51"/>
      <c r="G88" s="86"/>
      <c r="H88" s="49"/>
      <c r="I88" s="51"/>
    </row>
    <row r="89" spans="1:9" x14ac:dyDescent="0.3">
      <c r="A89" s="49"/>
      <c r="B89" s="50"/>
      <c r="C89" s="49"/>
      <c r="D89" s="86"/>
      <c r="E89" s="49"/>
      <c r="F89" s="51"/>
      <c r="G89" s="86"/>
      <c r="H89" s="49"/>
      <c r="I89" s="51"/>
    </row>
    <row r="90" spans="1:9" x14ac:dyDescent="0.3">
      <c r="A90" s="49"/>
      <c r="B90" s="50"/>
      <c r="C90" s="49"/>
      <c r="D90" s="86"/>
      <c r="E90" s="49"/>
      <c r="F90" s="51"/>
      <c r="G90" s="86"/>
      <c r="H90" s="49"/>
      <c r="I90" s="51"/>
    </row>
    <row r="91" spans="1:9" x14ac:dyDescent="0.3">
      <c r="A91" s="49"/>
      <c r="B91" s="50"/>
      <c r="C91" s="49"/>
      <c r="D91" s="86"/>
      <c r="E91" s="49"/>
      <c r="F91" s="51"/>
      <c r="G91" s="86"/>
      <c r="H91" s="49"/>
      <c r="I91" s="51"/>
    </row>
    <row r="92" spans="1:9" x14ac:dyDescent="0.3">
      <c r="A92" s="49"/>
      <c r="B92" s="50"/>
      <c r="C92" s="49"/>
      <c r="D92" s="86"/>
      <c r="E92" s="49"/>
      <c r="F92" s="51"/>
      <c r="G92" s="86"/>
      <c r="H92" s="49"/>
      <c r="I92" s="51"/>
    </row>
    <row r="93" spans="1:9" x14ac:dyDescent="0.3">
      <c r="A93" s="49"/>
      <c r="B93" s="50"/>
      <c r="C93" s="49"/>
      <c r="D93" s="86"/>
      <c r="E93" s="49"/>
      <c r="F93" s="51"/>
      <c r="G93" s="86"/>
      <c r="H93" s="49"/>
      <c r="I93" s="51"/>
    </row>
    <row r="94" spans="1:9" x14ac:dyDescent="0.3">
      <c r="A94" s="49"/>
      <c r="B94" s="50"/>
      <c r="C94" s="49"/>
      <c r="D94" s="86"/>
      <c r="E94" s="49"/>
      <c r="F94" s="51"/>
      <c r="G94" s="86"/>
      <c r="H94" s="49"/>
      <c r="I94" s="51"/>
    </row>
    <row r="95" spans="1:9" x14ac:dyDescent="0.3">
      <c r="A95" s="49"/>
      <c r="B95" s="50"/>
      <c r="C95" s="49"/>
      <c r="D95" s="86"/>
      <c r="E95" s="49"/>
      <c r="F95" s="51"/>
      <c r="G95" s="86"/>
      <c r="H95" s="49"/>
      <c r="I95" s="51"/>
    </row>
    <row r="96" spans="1:9" x14ac:dyDescent="0.3">
      <c r="A96" s="49"/>
      <c r="B96" s="50"/>
      <c r="C96" s="49"/>
      <c r="D96" s="86"/>
      <c r="E96" s="49"/>
      <c r="F96" s="51"/>
      <c r="G96" s="86"/>
      <c r="H96" s="49"/>
      <c r="I96" s="51"/>
    </row>
    <row r="97" spans="1:9" x14ac:dyDescent="0.3">
      <c r="A97" s="49"/>
      <c r="B97" s="50"/>
      <c r="C97" s="49"/>
      <c r="D97" s="86"/>
      <c r="E97" s="49"/>
      <c r="F97" s="51"/>
      <c r="G97" s="86"/>
      <c r="H97" s="49"/>
      <c r="I97" s="51"/>
    </row>
    <row r="98" spans="1:9" x14ac:dyDescent="0.3">
      <c r="A98" s="49"/>
      <c r="B98" s="50"/>
      <c r="C98" s="49"/>
      <c r="D98" s="86"/>
      <c r="E98" s="49"/>
      <c r="F98" s="51"/>
      <c r="G98" s="86"/>
      <c r="H98" s="49"/>
      <c r="I98" s="51"/>
    </row>
    <row r="99" spans="1:9" x14ac:dyDescent="0.3">
      <c r="A99" s="49"/>
      <c r="B99" s="50"/>
      <c r="C99" s="49"/>
      <c r="D99" s="86"/>
      <c r="E99" s="49"/>
      <c r="F99" s="51"/>
      <c r="G99" s="86"/>
      <c r="H99" s="49"/>
      <c r="I99" s="51"/>
    </row>
    <row r="100" spans="1:9" x14ac:dyDescent="0.3">
      <c r="A100" s="49"/>
      <c r="B100" s="50"/>
      <c r="C100" s="49"/>
      <c r="D100" s="86"/>
      <c r="E100" s="49"/>
      <c r="F100" s="51"/>
      <c r="G100" s="86"/>
      <c r="H100" s="49"/>
      <c r="I100" s="51"/>
    </row>
    <row r="101" spans="1:9" x14ac:dyDescent="0.3">
      <c r="A101" s="49"/>
      <c r="B101" s="50"/>
      <c r="C101" s="49"/>
      <c r="D101" s="86"/>
      <c r="E101" s="49"/>
      <c r="F101" s="51"/>
      <c r="G101" s="86"/>
      <c r="H101" s="49"/>
      <c r="I101" s="51"/>
    </row>
    <row r="102" spans="1:9" x14ac:dyDescent="0.3">
      <c r="A102" s="49"/>
      <c r="B102" s="50"/>
      <c r="C102" s="49"/>
      <c r="D102" s="86"/>
      <c r="E102" s="49"/>
      <c r="F102" s="51"/>
      <c r="G102" s="86"/>
      <c r="H102" s="49"/>
      <c r="I102" s="51"/>
    </row>
    <row r="103" spans="1:9" x14ac:dyDescent="0.3">
      <c r="A103" s="49"/>
      <c r="B103" s="50"/>
      <c r="C103" s="49"/>
      <c r="D103" s="86"/>
      <c r="E103" s="49"/>
      <c r="F103" s="51"/>
      <c r="G103" s="86"/>
      <c r="H103" s="49"/>
      <c r="I103" s="51"/>
    </row>
    <row r="104" spans="1:9" x14ac:dyDescent="0.3">
      <c r="A104" s="49"/>
      <c r="B104" s="50"/>
      <c r="C104" s="49"/>
      <c r="D104" s="86"/>
      <c r="E104" s="49"/>
      <c r="F104" s="51"/>
      <c r="G104" s="86"/>
      <c r="H104" s="49"/>
      <c r="I104" s="51"/>
    </row>
    <row r="105" spans="1:9" x14ac:dyDescent="0.3">
      <c r="A105" s="49"/>
      <c r="B105" s="50"/>
      <c r="C105" s="49"/>
      <c r="D105" s="86"/>
      <c r="E105" s="49"/>
      <c r="F105" s="51"/>
      <c r="G105" s="86"/>
      <c r="H105" s="49"/>
      <c r="I105" s="51"/>
    </row>
    <row r="106" spans="1:9" x14ac:dyDescent="0.3">
      <c r="A106" s="49"/>
      <c r="B106" s="50"/>
      <c r="C106" s="49"/>
      <c r="D106" s="86"/>
      <c r="E106" s="49"/>
      <c r="F106" s="51"/>
      <c r="G106" s="86"/>
      <c r="H106" s="49"/>
      <c r="I106" s="51"/>
    </row>
    <row r="107" spans="1:9" x14ac:dyDescent="0.3">
      <c r="A107" s="49"/>
      <c r="B107" s="50"/>
      <c r="C107" s="49"/>
      <c r="D107" s="86"/>
      <c r="E107" s="49"/>
      <c r="F107" s="51"/>
      <c r="G107" s="86"/>
      <c r="H107" s="49"/>
      <c r="I107" s="51"/>
    </row>
    <row r="108" spans="1:9" x14ac:dyDescent="0.3">
      <c r="A108" s="49"/>
      <c r="B108" s="50"/>
      <c r="C108" s="49"/>
      <c r="D108" s="86"/>
      <c r="E108" s="49"/>
      <c r="F108" s="51"/>
      <c r="G108" s="86"/>
      <c r="H108" s="49"/>
      <c r="I108" s="51"/>
    </row>
    <row r="109" spans="1:9" x14ac:dyDescent="0.3">
      <c r="A109" s="49"/>
      <c r="B109" s="50"/>
      <c r="C109" s="49"/>
      <c r="D109" s="86"/>
      <c r="E109" s="49"/>
      <c r="F109" s="51"/>
      <c r="G109" s="86"/>
      <c r="H109" s="49"/>
      <c r="I109" s="51"/>
    </row>
    <row r="110" spans="1:9" x14ac:dyDescent="0.3">
      <c r="A110" s="49"/>
      <c r="B110" s="50"/>
      <c r="C110" s="49"/>
      <c r="D110" s="86"/>
      <c r="E110" s="49"/>
      <c r="F110" s="51"/>
      <c r="G110" s="86"/>
      <c r="H110" s="49"/>
      <c r="I110" s="51"/>
    </row>
    <row r="111" spans="1:9" x14ac:dyDescent="0.3">
      <c r="A111" s="49"/>
      <c r="B111" s="50"/>
      <c r="C111" s="49"/>
      <c r="D111" s="86"/>
      <c r="E111" s="49"/>
      <c r="F111" s="51"/>
      <c r="G111" s="86"/>
      <c r="H111" s="49"/>
      <c r="I111" s="51"/>
    </row>
    <row r="112" spans="1:9" x14ac:dyDescent="0.3">
      <c r="A112" s="49"/>
      <c r="B112" s="50"/>
      <c r="C112" s="49"/>
      <c r="D112" s="86"/>
      <c r="E112" s="49"/>
      <c r="F112" s="51"/>
      <c r="G112" s="86"/>
      <c r="H112" s="49"/>
      <c r="I112" s="51"/>
    </row>
    <row r="113" spans="1:9" x14ac:dyDescent="0.3">
      <c r="A113" s="49"/>
      <c r="B113" s="50"/>
      <c r="C113" s="49"/>
      <c r="D113" s="86"/>
      <c r="E113" s="49"/>
      <c r="F113" s="51"/>
      <c r="G113" s="86"/>
      <c r="H113" s="49"/>
      <c r="I113" s="51"/>
    </row>
    <row r="114" spans="1:9" x14ac:dyDescent="0.3">
      <c r="A114" s="49"/>
      <c r="B114" s="50"/>
      <c r="C114" s="49"/>
      <c r="D114" s="86"/>
      <c r="E114" s="49"/>
      <c r="F114" s="51"/>
      <c r="G114" s="86"/>
      <c r="H114" s="49"/>
      <c r="I114" s="51"/>
    </row>
    <row r="115" spans="1:9" x14ac:dyDescent="0.3">
      <c r="A115" s="49"/>
      <c r="B115" s="50"/>
      <c r="C115" s="49"/>
      <c r="D115" s="86"/>
      <c r="E115" s="49"/>
      <c r="F115" s="51"/>
      <c r="G115" s="86"/>
      <c r="H115" s="49"/>
      <c r="I115" s="51"/>
    </row>
    <row r="116" spans="1:9" x14ac:dyDescent="0.3">
      <c r="A116" s="49"/>
      <c r="B116" s="50"/>
      <c r="C116" s="49"/>
      <c r="D116" s="86"/>
      <c r="E116" s="49"/>
      <c r="F116" s="51"/>
      <c r="G116" s="86"/>
      <c r="H116" s="49"/>
      <c r="I116" s="51"/>
    </row>
    <row r="117" spans="1:9" x14ac:dyDescent="0.3">
      <c r="A117" s="49"/>
      <c r="B117" s="50"/>
      <c r="C117" s="49"/>
      <c r="D117" s="86"/>
      <c r="E117" s="49"/>
      <c r="F117" s="51"/>
      <c r="G117" s="86"/>
      <c r="H117" s="49"/>
      <c r="I117" s="51"/>
    </row>
    <row r="118" spans="1:9" x14ac:dyDescent="0.3">
      <c r="A118" s="49"/>
      <c r="B118" s="50"/>
      <c r="C118" s="49"/>
      <c r="D118" s="86"/>
      <c r="E118" s="49"/>
      <c r="F118" s="51"/>
      <c r="G118" s="86"/>
      <c r="H118" s="49"/>
      <c r="I118" s="51"/>
    </row>
    <row r="119" spans="1:9" x14ac:dyDescent="0.3">
      <c r="A119" s="49"/>
      <c r="B119" s="50"/>
      <c r="C119" s="49"/>
      <c r="D119" s="86"/>
      <c r="E119" s="49"/>
      <c r="F119" s="51"/>
      <c r="G119" s="86"/>
      <c r="H119" s="49"/>
      <c r="I119" s="51"/>
    </row>
    <row r="120" spans="1:9" x14ac:dyDescent="0.3">
      <c r="A120" s="49"/>
      <c r="B120" s="50"/>
      <c r="C120" s="49"/>
      <c r="D120" s="86"/>
      <c r="E120" s="49"/>
      <c r="F120" s="51"/>
      <c r="G120" s="86"/>
      <c r="H120" s="49"/>
      <c r="I120" s="51"/>
    </row>
    <row r="121" spans="1:9" x14ac:dyDescent="0.3">
      <c r="A121" s="49"/>
      <c r="B121" s="50"/>
      <c r="C121" s="49"/>
      <c r="D121" s="86"/>
      <c r="E121" s="49"/>
      <c r="F121" s="51"/>
      <c r="G121" s="86"/>
      <c r="H121" s="49"/>
      <c r="I121" s="51"/>
    </row>
    <row r="122" spans="1:9" x14ac:dyDescent="0.3">
      <c r="A122" s="49"/>
      <c r="B122" s="50"/>
      <c r="C122" s="49"/>
      <c r="D122" s="86"/>
      <c r="E122" s="49"/>
      <c r="F122" s="51"/>
      <c r="G122" s="86"/>
      <c r="H122" s="49"/>
      <c r="I122" s="51"/>
    </row>
    <row r="123" spans="1:9" x14ac:dyDescent="0.3">
      <c r="A123" s="49"/>
      <c r="B123" s="50"/>
      <c r="C123" s="49"/>
      <c r="D123" s="86"/>
      <c r="E123" s="49"/>
      <c r="F123" s="51"/>
      <c r="G123" s="86"/>
      <c r="H123" s="49"/>
      <c r="I123" s="51"/>
    </row>
    <row r="124" spans="1:9" x14ac:dyDescent="0.3">
      <c r="A124" s="49"/>
      <c r="B124" s="50"/>
      <c r="C124" s="49"/>
      <c r="D124" s="86"/>
      <c r="E124" s="49"/>
      <c r="F124" s="51"/>
      <c r="G124" s="86"/>
      <c r="H124" s="49"/>
      <c r="I124" s="51"/>
    </row>
    <row r="125" spans="1:9" ht="15" thickBot="1" x14ac:dyDescent="0.35">
      <c r="A125" s="52"/>
      <c r="B125" s="53"/>
      <c r="C125" s="52"/>
      <c r="D125" s="87"/>
      <c r="E125" s="52"/>
      <c r="F125" s="54"/>
      <c r="G125" s="87"/>
      <c r="H125" s="52"/>
      <c r="I125" s="54"/>
    </row>
  </sheetData>
  <sheetProtection selectLockedCells="1"/>
  <protectedRanges>
    <protectedRange sqref="G2 G10:G15 G6:G7 G17:G32 G34:G48 D2:D48" name="Rango1"/>
    <protectedRange sqref="G3:G5" name="Rango1_12"/>
    <protectedRange sqref="G8:G9" name="Rango1_13"/>
    <protectedRange sqref="G16" name="Rango1_14"/>
  </protectedRanges>
  <autoFilter ref="A1:I125" xr:uid="{D4EA2F1E-1157-4F3E-99B6-A7A40C120095}"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Balance</vt:lpstr>
      <vt:lpstr>Notas</vt:lpstr>
      <vt:lpstr>Optativas</vt:lpstr>
      <vt:lpstr>Equivalencia</vt:lpstr>
      <vt:lpstr>Balance!Área_de_impresión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JEFE ESTADISTICA ENAP - BEYTY CAMARGO</dc:creator>
  <cp:keywords/>
  <dc:description/>
  <cp:lastModifiedBy>BEYTY CAMARGO MARTINEZ</cp:lastModifiedBy>
  <cp:revision/>
  <cp:lastPrinted>2025-11-25T21:38:42Z</cp:lastPrinted>
  <dcterms:created xsi:type="dcterms:W3CDTF">2024-08-29T16:28:19Z</dcterms:created>
  <dcterms:modified xsi:type="dcterms:W3CDTF">2025-11-25T21:42:50Z</dcterms:modified>
  <cp:category/>
  <cp:contentStatus/>
</cp:coreProperties>
</file>