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812" documentId="8_{064E12FB-7D89-4E8F-9CE5-3099933A24BA}" xr6:coauthVersionLast="47" xr6:coauthVersionMax="47" xr10:uidLastSave="{18C83700-96A9-48DB-9894-276C2E87B983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Balance!$C$11:$L$76</definedName>
    <definedName name="_xlnm._FilterDatabase" localSheetId="3" hidden="1">Equivalencia!$A$1:$I$67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Balance!$C$3:$L$90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L9" i="1" l="1"/>
  <c r="G46" i="1" s="1"/>
  <c r="K46" i="1" s="1"/>
  <c r="H46" i="1" l="1"/>
  <c r="L46" i="1"/>
  <c r="G21" i="1"/>
  <c r="G32" i="1"/>
  <c r="G37" i="1"/>
  <c r="G33" i="1"/>
  <c r="G58" i="1"/>
  <c r="G61" i="1"/>
  <c r="G71" i="1"/>
  <c r="G69" i="1"/>
  <c r="G76" i="1"/>
  <c r="G48" i="1"/>
  <c r="K48" i="1" s="1"/>
  <c r="G22" i="1"/>
  <c r="G49" i="1"/>
  <c r="K49" i="1" s="1"/>
  <c r="G26" i="1"/>
  <c r="G53" i="1"/>
  <c r="K53" i="1" s="1"/>
  <c r="G40" i="1"/>
  <c r="K40" i="1" s="1"/>
  <c r="G74" i="1"/>
  <c r="G45" i="1"/>
  <c r="K45" i="1" s="1"/>
  <c r="G60" i="1"/>
  <c r="G31" i="1"/>
  <c r="G54" i="1"/>
  <c r="K54" i="1" s="1"/>
  <c r="G20" i="1"/>
  <c r="G55" i="1"/>
  <c r="K55" i="1" s="1"/>
  <c r="G50" i="1"/>
  <c r="K50" i="1" s="1"/>
  <c r="G36" i="1"/>
  <c r="G23" i="1"/>
  <c r="G24" i="1"/>
  <c r="G51" i="1"/>
  <c r="K51" i="1" s="1"/>
  <c r="G56" i="1"/>
  <c r="K56" i="1" s="1"/>
  <c r="G59" i="1"/>
  <c r="G47" i="1"/>
  <c r="K47" i="1" s="1"/>
  <c r="G43" i="1"/>
  <c r="K43" i="1" s="1"/>
  <c r="G25" i="1"/>
  <c r="G44" i="1"/>
  <c r="K44" i="1" s="1"/>
  <c r="G34" i="1"/>
  <c r="G68" i="1"/>
  <c r="G57" i="1"/>
  <c r="G27" i="1"/>
  <c r="G75" i="1"/>
  <c r="G30" i="1"/>
  <c r="G29" i="1"/>
  <c r="G38" i="1"/>
  <c r="G67" i="1"/>
  <c r="G72" i="1"/>
  <c r="G35" i="1"/>
  <c r="G28" i="1"/>
  <c r="G63" i="1"/>
  <c r="G70" i="1"/>
  <c r="G52" i="1"/>
  <c r="K52" i="1" s="1"/>
  <c r="G66" i="1"/>
  <c r="G65" i="1"/>
  <c r="G42" i="1"/>
  <c r="K42" i="1" s="1"/>
  <c r="G39" i="1"/>
  <c r="G73" i="1"/>
  <c r="G62" i="1"/>
  <c r="G64" i="1"/>
  <c r="G41" i="1"/>
  <c r="K41" i="1" s="1"/>
  <c r="G18" i="1"/>
  <c r="G19" i="1"/>
  <c r="G12" i="1"/>
  <c r="G17" i="1"/>
  <c r="G13" i="1"/>
  <c r="G14" i="1"/>
  <c r="G16" i="1"/>
  <c r="G15" i="1"/>
  <c r="H4" i="7"/>
  <c r="H5" i="7"/>
  <c r="H6" i="7"/>
  <c r="H7" i="7"/>
  <c r="H8" i="7"/>
  <c r="H9" i="7"/>
  <c r="H10" i="7"/>
  <c r="H11" i="7"/>
  <c r="H12" i="7"/>
  <c r="H13" i="7"/>
  <c r="J68" i="1" l="1"/>
  <c r="J62" i="1"/>
  <c r="J69" i="1"/>
  <c r="J72" i="1"/>
  <c r="J74" i="1"/>
  <c r="J64" i="1"/>
  <c r="J67" i="1"/>
  <c r="J71" i="1"/>
  <c r="J73" i="1"/>
  <c r="J76" i="1"/>
  <c r="J65" i="1"/>
  <c r="J70" i="1"/>
  <c r="J63" i="1"/>
  <c r="J66" i="1"/>
  <c r="J75" i="1"/>
  <c r="K16" i="1"/>
  <c r="K14" i="1"/>
  <c r="K13" i="1"/>
  <c r="K15" i="1"/>
  <c r="K19" i="1"/>
  <c r="K17" i="1"/>
  <c r="K18" i="1"/>
  <c r="H28" i="1"/>
  <c r="L28" i="1"/>
  <c r="K28" i="1"/>
  <c r="L59" i="1"/>
  <c r="K59" i="1"/>
  <c r="H26" i="1"/>
  <c r="L26" i="1"/>
  <c r="K26" i="1"/>
  <c r="H67" i="1"/>
  <c r="H24" i="1"/>
  <c r="L24" i="1"/>
  <c r="K24" i="1"/>
  <c r="H48" i="1"/>
  <c r="L48" i="1"/>
  <c r="H72" i="1"/>
  <c r="H38" i="1"/>
  <c r="L38" i="1"/>
  <c r="K38" i="1"/>
  <c r="H23" i="1"/>
  <c r="L23" i="1"/>
  <c r="K23" i="1"/>
  <c r="H76" i="1"/>
  <c r="H29" i="1"/>
  <c r="L29" i="1"/>
  <c r="K29" i="1"/>
  <c r="H36" i="1"/>
  <c r="L36" i="1"/>
  <c r="K36" i="1"/>
  <c r="H69" i="1"/>
  <c r="H41" i="1"/>
  <c r="L41" i="1"/>
  <c r="H64" i="1"/>
  <c r="H30" i="1"/>
  <c r="L30" i="1"/>
  <c r="K30" i="1"/>
  <c r="H50" i="1"/>
  <c r="L50" i="1"/>
  <c r="H71" i="1"/>
  <c r="H51" i="1"/>
  <c r="L51" i="1"/>
  <c r="H62" i="1"/>
  <c r="H75" i="1"/>
  <c r="H55" i="1"/>
  <c r="L55" i="1"/>
  <c r="H61" i="1"/>
  <c r="L61" i="1"/>
  <c r="K61" i="1"/>
  <c r="H49" i="1"/>
  <c r="L49" i="1"/>
  <c r="H27" i="1"/>
  <c r="L27" i="1"/>
  <c r="K27" i="1"/>
  <c r="H20" i="1"/>
  <c r="L20" i="1"/>
  <c r="K20" i="1"/>
  <c r="H58" i="1"/>
  <c r="L58" i="1"/>
  <c r="K58" i="1"/>
  <c r="H39" i="1"/>
  <c r="L39" i="1"/>
  <c r="K39" i="1"/>
  <c r="H57" i="1"/>
  <c r="L57" i="1"/>
  <c r="K57" i="1"/>
  <c r="H54" i="1"/>
  <c r="L54" i="1"/>
  <c r="H33" i="1"/>
  <c r="L33" i="1"/>
  <c r="K33" i="1"/>
  <c r="H22" i="1"/>
  <c r="L22" i="1"/>
  <c r="K22" i="1"/>
  <c r="H68" i="1"/>
  <c r="H31" i="1"/>
  <c r="L31" i="1"/>
  <c r="K31" i="1"/>
  <c r="H37" i="1"/>
  <c r="L37" i="1"/>
  <c r="K37" i="1"/>
  <c r="H73" i="1"/>
  <c r="H34" i="1"/>
  <c r="L34" i="1"/>
  <c r="K34" i="1"/>
  <c r="H60" i="1"/>
  <c r="L60" i="1"/>
  <c r="K60" i="1"/>
  <c r="H32" i="1"/>
  <c r="L32" i="1"/>
  <c r="K32" i="1"/>
  <c r="H42" i="1"/>
  <c r="L42" i="1"/>
  <c r="H66" i="1"/>
  <c r="H44" i="1"/>
  <c r="L44" i="1"/>
  <c r="H45" i="1"/>
  <c r="L45" i="1"/>
  <c r="H21" i="1"/>
  <c r="L21" i="1"/>
  <c r="K21" i="1"/>
  <c r="H56" i="1"/>
  <c r="L56" i="1"/>
  <c r="H52" i="1"/>
  <c r="L52" i="1"/>
  <c r="H25" i="1"/>
  <c r="L25" i="1"/>
  <c r="K25" i="1"/>
  <c r="H74" i="1"/>
  <c r="H59" i="1"/>
  <c r="H35" i="1"/>
  <c r="L35" i="1"/>
  <c r="K35" i="1"/>
  <c r="H70" i="1"/>
  <c r="H43" i="1"/>
  <c r="L43" i="1"/>
  <c r="H40" i="1"/>
  <c r="L40" i="1"/>
  <c r="H63" i="1"/>
  <c r="H47" i="1"/>
  <c r="L47" i="1"/>
  <c r="H53" i="1"/>
  <c r="L53" i="1"/>
  <c r="H65" i="1"/>
  <c r="L12" i="1"/>
  <c r="K12" i="1"/>
  <c r="H14" i="1"/>
  <c r="L14" i="1"/>
  <c r="H17" i="1"/>
  <c r="L17" i="1"/>
  <c r="H18" i="1"/>
  <c r="L18" i="1"/>
  <c r="H15" i="1"/>
  <c r="L15" i="1"/>
  <c r="H19" i="1"/>
  <c r="L19" i="1"/>
  <c r="H16" i="1"/>
  <c r="L16" i="1"/>
  <c r="H13" i="1"/>
  <c r="L13" i="1"/>
  <c r="C5" i="7"/>
  <c r="C6" i="7"/>
  <c r="C7" i="7"/>
  <c r="C8" i="7"/>
  <c r="C9" i="7"/>
  <c r="C10" i="7"/>
  <c r="C11" i="7"/>
  <c r="C12" i="7"/>
  <c r="C13" i="7"/>
  <c r="C4" i="7"/>
  <c r="J78" i="1" l="1"/>
  <c r="J79" i="1" s="1"/>
  <c r="L8" i="1"/>
  <c r="H12" i="1"/>
</calcChain>
</file>

<file path=xl/sharedStrings.xml><?xml version="1.0" encoding="utf-8"?>
<sst xmlns="http://schemas.openxmlformats.org/spreadsheetml/2006/main" count="319" uniqueCount="181">
  <si>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</si>
  <si>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</si>
  <si>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</si>
  <si>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</si>
  <si>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</si>
  <si>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</si>
  <si>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</si>
  <si>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</si>
  <si>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</si>
  <si>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</si>
  <si>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</si>
  <si>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</si>
  <si>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</si>
  <si>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</si>
  <si>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</si>
  <si>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</si>
  <si>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</si>
  <si>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CB101</t>
  </si>
  <si>
    <t>CB102</t>
  </si>
  <si>
    <t>CB201</t>
  </si>
  <si>
    <t>CB203</t>
  </si>
  <si>
    <t>Ética Profesional</t>
  </si>
  <si>
    <t>CS711</t>
  </si>
  <si>
    <t>CS712</t>
  </si>
  <si>
    <t>Investigación Formativa II</t>
  </si>
  <si>
    <t>CS713</t>
  </si>
  <si>
    <t>Investigación Formativa III</t>
  </si>
  <si>
    <t>PROMEDIO PONDERADO ACUMULADO</t>
  </si>
  <si>
    <t>Jefe de Programa</t>
  </si>
  <si>
    <t>Decano de Facultad</t>
  </si>
  <si>
    <t>CÓD</t>
  </si>
  <si>
    <t>ASIGNATURA</t>
  </si>
  <si>
    <t>CRÉD</t>
  </si>
  <si>
    <t>CÓDIGO</t>
  </si>
  <si>
    <t>Física Mecánica</t>
  </si>
  <si>
    <t>CN300</t>
  </si>
  <si>
    <t>Marinería</t>
  </si>
  <si>
    <t>CS314</t>
  </si>
  <si>
    <t>Idiomas I</t>
  </si>
  <si>
    <t>CS316</t>
  </si>
  <si>
    <t>CS317</t>
  </si>
  <si>
    <t>CS318</t>
  </si>
  <si>
    <t>Idiomas V</t>
  </si>
  <si>
    <t>CS319</t>
  </si>
  <si>
    <t>Idiomas VI</t>
  </si>
  <si>
    <t>CS208</t>
  </si>
  <si>
    <t>IN202</t>
  </si>
  <si>
    <t>INGENIERÍA NAVAL</t>
  </si>
  <si>
    <t>IN001</t>
  </si>
  <si>
    <t>Descriptiva y Dibujo</t>
  </si>
  <si>
    <t xml:space="preserve">OBSERVACIONES: </t>
  </si>
  <si>
    <t>CS131</t>
  </si>
  <si>
    <t>Fundamentos de Liderazgo</t>
  </si>
  <si>
    <t>CS112</t>
  </si>
  <si>
    <t>Derecho Constitucional</t>
  </si>
  <si>
    <t>CS200</t>
  </si>
  <si>
    <t>AM801</t>
  </si>
  <si>
    <t>Aseguramiento de la Calidad</t>
  </si>
  <si>
    <t>AM802</t>
  </si>
  <si>
    <t>Plan General de Contabilidad Pública</t>
  </si>
  <si>
    <t>AM803</t>
  </si>
  <si>
    <t>Mercado de Capitales</t>
  </si>
  <si>
    <t>Formación Sociohumanística</t>
  </si>
  <si>
    <t>Formación Profesional General</t>
  </si>
  <si>
    <t>MC100</t>
  </si>
  <si>
    <t>Organización Mercante</t>
  </si>
  <si>
    <t>CN101</t>
  </si>
  <si>
    <t>Comunicaciones Mercantes</t>
  </si>
  <si>
    <t>CS108</t>
  </si>
  <si>
    <t>MC102</t>
  </si>
  <si>
    <t>Organización y Procedimientos de Emergencias</t>
  </si>
  <si>
    <t>MC358</t>
  </si>
  <si>
    <t>MM605</t>
  </si>
  <si>
    <t>MM703</t>
  </si>
  <si>
    <t>MM214</t>
  </si>
  <si>
    <t>Seguros Marítimos</t>
  </si>
  <si>
    <t>MM108</t>
  </si>
  <si>
    <t>Seguridad Marítima</t>
  </si>
  <si>
    <t>Maquinaria Naval</t>
  </si>
  <si>
    <t>Construcción de Buques</t>
  </si>
  <si>
    <t>IN448</t>
  </si>
  <si>
    <t>Formacion Profesional Especifica</t>
  </si>
  <si>
    <t>Investigacion</t>
  </si>
  <si>
    <t>Formación Práctica</t>
  </si>
  <si>
    <t>Idiomas II</t>
  </si>
  <si>
    <t>Idiomas III</t>
  </si>
  <si>
    <t>Idiomas IV</t>
  </si>
  <si>
    <t>Navegación Mercante</t>
  </si>
  <si>
    <t>CN349</t>
  </si>
  <si>
    <t>CN354</t>
  </si>
  <si>
    <t>MM205</t>
  </si>
  <si>
    <t>MC308</t>
  </si>
  <si>
    <t>MC309</t>
  </si>
  <si>
    <t>Guardia de Navegación II</t>
  </si>
  <si>
    <t>OF106</t>
  </si>
  <si>
    <t>CN500</t>
  </si>
  <si>
    <t>MM303</t>
  </si>
  <si>
    <t>Estabilidad Para Mercantes</t>
  </si>
  <si>
    <t>MM216</t>
  </si>
  <si>
    <t>CB301</t>
  </si>
  <si>
    <t>MM207</t>
  </si>
  <si>
    <t>Formacion Básica</t>
  </si>
  <si>
    <t>Libro Registro Embarco Puente</t>
  </si>
  <si>
    <t>MC801</t>
  </si>
  <si>
    <t>OMI119</t>
  </si>
  <si>
    <t>OMI120</t>
  </si>
  <si>
    <t>OMI121</t>
  </si>
  <si>
    <t>OMI202</t>
  </si>
  <si>
    <t>OMI110</t>
  </si>
  <si>
    <t>OMI115</t>
  </si>
  <si>
    <t>OMI203</t>
  </si>
  <si>
    <t>MM411</t>
  </si>
  <si>
    <t>OMI101</t>
  </si>
  <si>
    <t>OMI127</t>
  </si>
  <si>
    <t>OMI1.14</t>
  </si>
  <si>
    <t>Primeros Auxilios Sanitarios</t>
  </si>
  <si>
    <t>Cargas Peligrosas, Potencialmente Peligrosas y Perjudiciales</t>
  </si>
  <si>
    <t>Cuidados Médicos</t>
  </si>
  <si>
    <t>OMI107</t>
  </si>
  <si>
    <t>OMI108</t>
  </si>
  <si>
    <t>OMI125</t>
  </si>
  <si>
    <t>Aprobado</t>
  </si>
  <si>
    <t>No aprobado</t>
  </si>
  <si>
    <t>CURSOS OMI</t>
  </si>
  <si>
    <t>TOTAL CRÉDITOS PROGRAMA</t>
  </si>
  <si>
    <t>CIENCIAS NÁUTICAS PARA OFICIALES MERCANTES - ESPECIALIDAD PUENTE</t>
  </si>
  <si>
    <t>MM803</t>
  </si>
  <si>
    <t>MM802</t>
  </si>
  <si>
    <t>IN221</t>
  </si>
  <si>
    <t>IN226</t>
  </si>
  <si>
    <t>CB214</t>
  </si>
  <si>
    <t>CS315</t>
  </si>
  <si>
    <t>CN310</t>
  </si>
  <si>
    <t>OMI139</t>
  </si>
  <si>
    <t>MOD</t>
  </si>
  <si>
    <t>OMI138</t>
  </si>
  <si>
    <t>Practica Maniobra de Buques</t>
  </si>
  <si>
    <t>Practicas Oficial Guardia de Navegación</t>
  </si>
  <si>
    <t>Gestión Recursos del Puente</t>
  </si>
  <si>
    <t>Magnetismo y Sistema de Gobierno</t>
  </si>
  <si>
    <t>Nociones</t>
  </si>
  <si>
    <t>Operador General del Sistema Mundial de Socorro y Seguridad Marítima</t>
  </si>
  <si>
    <t>Uso y Manejo de Sistemas de Información y Despliegue Cartas Náuticas Electrónicas</t>
  </si>
  <si>
    <t>Electiva Mercante II</t>
  </si>
  <si>
    <t>Equipo Radar Arpa Trabajo en Equipo en el Puente y Operaciones de Búsqueda y Salvamento</t>
  </si>
  <si>
    <t>Guardia Navegación II</t>
  </si>
  <si>
    <t>Navegación con Radar, Punteo y Empleo de las Arpa</t>
  </si>
  <si>
    <t>Electiva Mercante I</t>
  </si>
  <si>
    <t>Estiba y Transporte Marítimo</t>
  </si>
  <si>
    <t>Guardia Navegación I</t>
  </si>
  <si>
    <t>Meteorología Marina</t>
  </si>
  <si>
    <t>Navegación IV-M (electrónica)</t>
  </si>
  <si>
    <t>Química del Transporte Marítimo</t>
  </si>
  <si>
    <t>Estiba y Transporte Marítimo II</t>
  </si>
  <si>
    <t>Familiarización Buque Tanques</t>
  </si>
  <si>
    <t>Física Eléctrica - Electromagnetismo y Laboratorio</t>
  </si>
  <si>
    <t>investigación Formativa II</t>
  </si>
  <si>
    <t>Navegación Mercante III</t>
  </si>
  <si>
    <t>OMI 3.19 Oficial Protección Buque</t>
  </si>
  <si>
    <t>Física II (Calor y Ondas)</t>
  </si>
  <si>
    <t>Formación Avanzada en Lucha Contra incendio OMI 203</t>
  </si>
  <si>
    <t>investigación Formativa</t>
  </si>
  <si>
    <t>Navegación Mercante II (Costera)</t>
  </si>
  <si>
    <t>Derecho Marítimo I (Mercantes)</t>
  </si>
  <si>
    <t>Maniobras Mercantes</t>
  </si>
  <si>
    <t>Matemática II</t>
  </si>
  <si>
    <t>Prevención y Lucha Contra incendio</t>
  </si>
  <si>
    <t>Suficiencia Técnicas de Supervivencia Personal</t>
  </si>
  <si>
    <t>Técnicas de Expresión Oral y Escrita I</t>
  </si>
  <si>
    <t>Liderazgo y Trabajo en Equipo</t>
  </si>
  <si>
    <t>Matemática I</t>
  </si>
  <si>
    <t>Modelo OMI 1.23 Compet. Manejo Emb.Super</t>
  </si>
  <si>
    <t>Orientación Naval</t>
  </si>
  <si>
    <t>Prevención de la Contaminación Marina y Fluvial-OMI 1.38</t>
  </si>
  <si>
    <t>Seguridad Personal y Responsabilidad Social</t>
  </si>
  <si>
    <t>Estiba y Transporte Marítimo III</t>
  </si>
  <si>
    <t>Coordinador de Servicios Aeronáuticos</t>
  </si>
  <si>
    <t>Investigación Formativa</t>
  </si>
  <si>
    <t>MM304</t>
  </si>
  <si>
    <t>CN348</t>
  </si>
  <si>
    <t>OMI123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</si>
</sst>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u/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5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3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1" fontId="8" fillId="0" borderId="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6" xfId="0" applyFont="1" applyBorder="1" applyAlignment="1">
      <alignment horizontal="left" vertical="center"/>
    </xf>
    <xf numFmtId="1" fontId="6" fillId="0" borderId="46" xfId="0" applyNumberFormat="1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2" xfId="0" applyFont="1" applyBorder="1" applyAlignment="1">
      <alignment horizontal="left" vertical="center"/>
    </xf>
    <xf numFmtId="1" fontId="6" fillId="0" borderId="52" xfId="0" applyNumberFormat="1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19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46" xfId="0" applyFont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14" fontId="8" fillId="0" borderId="38" xfId="0" applyNumberFormat="1" applyFont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1" fontId="7" fillId="2" borderId="17" xfId="0" applyNumberFormat="1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16" fillId="0" borderId="31" xfId="2" applyFont="1" applyBorder="1" applyAlignment="1">
      <alignment horizontal="center" vertical="center"/>
    </xf>
    <xf numFmtId="0" fontId="16" fillId="0" borderId="38" xfId="1" applyNumberFormat="1" applyFont="1" applyBorder="1" applyAlignment="1">
      <alignment vertical="center"/>
    </xf>
    <xf numFmtId="0" fontId="16" fillId="0" borderId="27" xfId="2" applyFont="1" applyBorder="1" applyAlignment="1">
      <alignment horizontal="center" vertical="center"/>
    </xf>
    <xf numFmtId="1" fontId="16" fillId="0" borderId="27" xfId="2" applyNumberFormat="1" applyFont="1" applyBorder="1" applyAlignment="1">
      <alignment horizontal="center" vertical="center"/>
    </xf>
    <xf numFmtId="164" fontId="16" fillId="0" borderId="27" xfId="2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0" fontId="16" fillId="0" borderId="34" xfId="2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6" fillId="0" borderId="33" xfId="2" applyFont="1" applyBorder="1" applyAlignment="1">
      <alignment horizontal="center" vertical="center"/>
    </xf>
    <xf numFmtId="1" fontId="16" fillId="0" borderId="33" xfId="2" applyNumberFormat="1" applyFont="1" applyBorder="1" applyAlignment="1">
      <alignment horizontal="center" vertical="center"/>
    </xf>
    <xf numFmtId="164" fontId="16" fillId="0" borderId="33" xfId="2" applyNumberFormat="1" applyFont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0" fontId="16" fillId="0" borderId="35" xfId="2" applyFont="1" applyBorder="1" applyAlignment="1">
      <alignment horizontal="center" vertical="center"/>
    </xf>
    <xf numFmtId="1" fontId="16" fillId="0" borderId="35" xfId="2" applyNumberFormat="1" applyFont="1" applyBorder="1" applyAlignment="1">
      <alignment horizontal="center" vertical="center"/>
    </xf>
    <xf numFmtId="164" fontId="16" fillId="0" borderId="35" xfId="2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44" fontId="16" fillId="0" borderId="31" xfId="1" applyFont="1" applyBorder="1" applyAlignment="1">
      <alignment vertical="center"/>
    </xf>
    <xf numFmtId="44" fontId="16" fillId="0" borderId="34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6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6" xfId="0" applyFont="1" applyBorder="1" applyAlignment="1">
      <alignment horizontal="center" vertical="center" textRotation="90" wrapText="1"/>
    </xf>
    <xf numFmtId="0" fontId="11" fillId="0" borderId="52" xfId="0" applyFont="1" applyBorder="1" applyAlignment="1">
      <alignment horizontal="center" vertical="center" textRotation="90" wrapText="1"/>
    </xf>
    <xf numFmtId="0" fontId="3" fillId="0" borderId="15" xfId="0" applyFont="1" applyBorder="1" applyAlignment="1">
      <alignment vertical="center"/>
    </xf>
    <xf numFmtId="44" fontId="16" fillId="0" borderId="34" xfId="2" applyNumberFormat="1" applyFont="1" applyBorder="1" applyAlignment="1">
      <alignment horizontal="left" vertical="center"/>
    </xf>
    <xf numFmtId="44" fontId="17" fillId="0" borderId="41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8" xfId="0" applyNumberFormat="1" applyFont="1" applyBorder="1" applyAlignment="1">
      <alignment horizontal="left" vertical="center"/>
    </xf>
    <xf numFmtId="0" fontId="16" fillId="0" borderId="56" xfId="2" applyFont="1" applyBorder="1" applyAlignment="1">
      <alignment horizontal="center" vertical="center"/>
    </xf>
    <xf numFmtId="0" fontId="16" fillId="0" borderId="36" xfId="2" applyFont="1" applyBorder="1" applyAlignment="1">
      <alignment horizontal="center" vertical="center"/>
    </xf>
    <xf numFmtId="44" fontId="16" fillId="0" borderId="36" xfId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44" fontId="16" fillId="0" borderId="31" xfId="2" applyNumberFormat="1" applyFont="1" applyBorder="1" applyAlignment="1">
      <alignment horizontal="left" vertical="center"/>
    </xf>
    <xf numFmtId="44" fontId="17" fillId="0" borderId="38" xfId="1" applyFont="1" applyBorder="1" applyAlignment="1">
      <alignment vertical="center"/>
    </xf>
    <xf numFmtId="44" fontId="16" fillId="0" borderId="36" xfId="2" applyNumberFormat="1" applyFont="1" applyBorder="1" applyAlignment="1">
      <alignment horizontal="left" vertical="center"/>
    </xf>
    <xf numFmtId="44" fontId="17" fillId="0" borderId="42" xfId="1" applyFont="1" applyBorder="1" applyAlignment="1">
      <alignment vertical="center"/>
    </xf>
    <xf numFmtId="0" fontId="16" fillId="0" borderId="28" xfId="2" applyFont="1" applyBorder="1" applyAlignment="1">
      <alignment horizontal="center" vertical="center"/>
    </xf>
    <xf numFmtId="44" fontId="16" fillId="0" borderId="28" xfId="1" applyFont="1" applyBorder="1" applyAlignment="1">
      <alignment vertical="center"/>
    </xf>
    <xf numFmtId="0" fontId="16" fillId="0" borderId="30" xfId="1" applyNumberFormat="1" applyFont="1" applyBorder="1" applyAlignment="1">
      <alignment vertical="center"/>
    </xf>
    <xf numFmtId="44" fontId="16" fillId="0" borderId="28" xfId="2" applyNumberFormat="1" applyFont="1" applyBorder="1" applyAlignment="1">
      <alignment horizontal="left" vertical="center"/>
    </xf>
    <xf numFmtId="44" fontId="17" fillId="0" borderId="30" xfId="1" applyFont="1" applyBorder="1" applyAlignment="1">
      <alignment vertical="center"/>
    </xf>
    <xf numFmtId="0" fontId="3" fillId="0" borderId="9" xfId="0" applyFont="1" applyBorder="1" applyAlignment="1">
      <alignment horizontal="center"/>
    </xf>
    <xf numFmtId="0" fontId="3" fillId="0" borderId="3" xfId="0" applyFont="1" applyBorder="1"/>
    <xf numFmtId="0" fontId="0" fillId="0" borderId="13" xfId="0" applyBorder="1" applyAlignment="1">
      <alignment horizontal="center"/>
    </xf>
    <xf numFmtId="0" fontId="0" fillId="0" borderId="16" xfId="0" applyBorder="1"/>
    <xf numFmtId="0" fontId="16" fillId="0" borderId="22" xfId="2" applyFont="1" applyBorder="1" applyAlignment="1">
      <alignment horizontal="center" vertical="center"/>
    </xf>
    <xf numFmtId="1" fontId="16" fillId="0" borderId="34" xfId="2" applyNumberFormat="1" applyFont="1" applyBorder="1" applyAlignment="1">
      <alignment horizontal="center" vertical="center"/>
    </xf>
    <xf numFmtId="1" fontId="16" fillId="0" borderId="58" xfId="2" applyNumberFormat="1" applyFont="1" applyBorder="1" applyAlignment="1">
      <alignment horizontal="center" vertical="center"/>
    </xf>
    <xf numFmtId="1" fontId="16" fillId="0" borderId="41" xfId="2" applyNumberFormat="1" applyFont="1" applyBorder="1" applyAlignment="1">
      <alignment horizontal="center" vertical="center"/>
    </xf>
    <xf numFmtId="0" fontId="19" fillId="5" borderId="54" xfId="0" applyFont="1" applyFill="1" applyBorder="1" applyAlignment="1">
      <alignment horizontal="center" vertical="center" textRotation="90"/>
    </xf>
    <xf numFmtId="0" fontId="19" fillId="5" borderId="55" xfId="0" applyFont="1" applyFill="1" applyBorder="1" applyAlignment="1">
      <alignment horizontal="center" vertical="center" textRotation="90"/>
    </xf>
    <xf numFmtId="0" fontId="19" fillId="5" borderId="57" xfId="0" applyFont="1" applyFill="1" applyBorder="1" applyAlignment="1">
      <alignment horizontal="center" vertical="center" textRotation="90"/>
    </xf>
    <xf numFmtId="0" fontId="19" fillId="5" borderId="54" xfId="0" applyFont="1" applyFill="1" applyBorder="1" applyAlignment="1">
      <alignment horizontal="center" vertical="center" textRotation="90" wrapText="1"/>
    </xf>
    <xf numFmtId="0" fontId="19" fillId="5" borderId="55" xfId="0" applyFont="1" applyFill="1" applyBorder="1" applyAlignment="1">
      <alignment horizontal="center" vertical="center" textRotation="90" wrapText="1"/>
    </xf>
    <xf numFmtId="0" fontId="19" fillId="5" borderId="57" xfId="0" applyFont="1" applyFill="1" applyBorder="1" applyAlignment="1">
      <alignment horizontal="center" vertical="center" textRotation="90" wrapText="1"/>
    </xf>
    <xf numFmtId="1" fontId="16" fillId="0" borderId="31" xfId="2" applyNumberFormat="1" applyFont="1" applyBorder="1" applyAlignment="1">
      <alignment horizontal="center" vertical="center"/>
    </xf>
    <xf numFmtId="1" fontId="16" fillId="0" borderId="32" xfId="2" applyNumberFormat="1" applyFont="1" applyBorder="1" applyAlignment="1">
      <alignment horizontal="center" vertical="center"/>
    </xf>
    <xf numFmtId="1" fontId="16" fillId="0" borderId="38" xfId="2" applyNumberFormat="1" applyFont="1" applyBorder="1" applyAlignment="1">
      <alignment horizontal="center" vertical="center"/>
    </xf>
    <xf numFmtId="0" fontId="6" fillId="0" borderId="37" xfId="0" applyFont="1" applyBorder="1" applyAlignment="1">
      <alignment horizontal="left" vertical="center"/>
    </xf>
    <xf numFmtId="0" fontId="6" fillId="0" borderId="42" xfId="0" applyFont="1" applyBorder="1" applyAlignment="1">
      <alignment horizontal="left" vertical="center"/>
    </xf>
    <xf numFmtId="44" fontId="7" fillId="2" borderId="24" xfId="1" applyFont="1" applyFill="1" applyBorder="1" applyAlignment="1">
      <alignment horizontal="left" vertical="center"/>
    </xf>
    <xf numFmtId="44" fontId="7" fillId="2" borderId="26" xfId="1" applyFont="1" applyFill="1" applyBorder="1" applyAlignment="1">
      <alignment horizontal="left" vertical="center"/>
    </xf>
    <xf numFmtId="0" fontId="13" fillId="0" borderId="17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32" xfId="1" applyNumberFormat="1" applyFont="1" applyBorder="1" applyAlignment="1">
      <alignment horizontal="left" vertical="center" wrapText="1" indent="1"/>
    </xf>
    <xf numFmtId="0" fontId="18" fillId="0" borderId="18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32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/>
    </xf>
    <xf numFmtId="0" fontId="14" fillId="0" borderId="31" xfId="1" applyNumberFormat="1" applyFont="1" applyBorder="1" applyAlignment="1">
      <alignment horizontal="left" vertical="center" indent="1"/>
    </xf>
    <xf numFmtId="0" fontId="14" fillId="0" borderId="32" xfId="1" applyNumberFormat="1" applyFont="1" applyBorder="1" applyAlignment="1">
      <alignment horizontal="left" vertical="center" indent="1"/>
    </xf>
    <xf numFmtId="0" fontId="11" fillId="0" borderId="18" xfId="0" applyFont="1" applyBorder="1" applyAlignment="1">
      <alignment horizontal="center" vertical="center" textRotation="90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4" fillId="0" borderId="22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23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" fontId="7" fillId="2" borderId="31" xfId="0" applyNumberFormat="1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164" fontId="7" fillId="2" borderId="22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0" fontId="9" fillId="2" borderId="31" xfId="1" applyNumberFormat="1" applyFont="1" applyFill="1" applyBorder="1" applyAlignment="1">
      <alignment horizontal="right" vertical="center" indent="1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6" fillId="0" borderId="22" xfId="0" applyNumberFormat="1" applyFont="1" applyBorder="1" applyAlignment="1">
      <alignment horizontal="left" vertical="top" indent="1"/>
    </xf>
    <xf numFmtId="15" fontId="16" fillId="0" borderId="2" xfId="0" applyNumberFormat="1" applyFont="1" applyBorder="1" applyAlignment="1">
      <alignment horizontal="left" vertical="top" indent="1"/>
    </xf>
    <xf numFmtId="15" fontId="16" fillId="0" borderId="23" xfId="0" applyNumberFormat="1" applyFont="1" applyBorder="1" applyAlignment="1">
      <alignment horizontal="left" vertical="top" indent="1"/>
    </xf>
    <xf numFmtId="0" fontId="9" fillId="2" borderId="36" xfId="1" applyNumberFormat="1" applyFont="1" applyFill="1" applyBorder="1" applyAlignment="1">
      <alignment horizontal="right" vertical="center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42" xfId="1" applyNumberFormat="1" applyFont="1" applyFill="1" applyBorder="1" applyAlignment="1">
      <alignment horizontal="right" vertical="center" indent="1"/>
    </xf>
    <xf numFmtId="0" fontId="19" fillId="5" borderId="17" xfId="0" applyFont="1" applyFill="1" applyBorder="1" applyAlignment="1">
      <alignment horizontal="center" vertical="center" textRotation="90" wrapText="1"/>
    </xf>
    <xf numFmtId="0" fontId="19" fillId="5" borderId="17" xfId="0" applyFont="1" applyFill="1" applyBorder="1" applyAlignment="1">
      <alignment horizontal="center" vertical="center" textRotation="90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91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841161" y="1"/>
          <a:ext cx="1106760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83297" y="3370274"/>
              <a:ext cx="408788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5494" y="3470761"/>
              <a:ext cx="224396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724376" y="351771"/>
              <a:ext cx="408787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16572" y="452258"/>
              <a:ext cx="224398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55816" y="351771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48012" y="450059"/>
              <a:ext cx="224395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81853" y="3370274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4049" y="3485443"/>
              <a:ext cx="224397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90021" y="351771"/>
              <a:ext cx="408787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1834" y="438912"/>
              <a:ext cx="224397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33933" y="351771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86337" y="429957"/>
              <a:ext cx="303983" cy="35546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306787</xdr:colOff>
      <xdr:row>12</xdr:row>
      <xdr:rowOff>7720</xdr:rowOff>
    </xdr:from>
    <xdr:to>
      <xdr:col>9</xdr:col>
      <xdr:colOff>627856</xdr:colOff>
      <xdr:row>76</xdr:row>
      <xdr:rowOff>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307" y="2903320"/>
          <a:ext cx="7369569" cy="112089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1135380</xdr:colOff>
      <xdr:row>197</xdr:row>
      <xdr:rowOff>45720</xdr:rowOff>
    </xdr:from>
    <xdr:to>
      <xdr:col>11</xdr:col>
      <xdr:colOff>312648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2"/>
  <sheetViews>
    <sheetView showGridLines="0" showRowColHeaders="0" tabSelected="1" showRuler="0" zoomScaleNormal="100" zoomScaleSheetLayoutView="100" workbookViewId="0">
      <pane ySplit="1" topLeftCell="A2" activePane="bottomLeft" state="frozen"/>
      <selection pane="bottomLeft" activeCell="E48" sqref="E48"/>
    </sheetView>
  </sheetViews>
  <sheetFormatPr baseColWidth="10" defaultColWidth="11.109375" defaultRowHeight="12" x14ac:dyDescent="0.3"/>
  <cols>
    <col min="1" max="1" width="12.21875" style="49" customWidth="1"/>
    <col min="2" max="2" width="4.44140625" style="33" customWidth="1"/>
    <col min="3" max="3" width="4.44140625" style="80" customWidth="1"/>
    <col min="4" max="4" width="8.6640625" style="33" customWidth="1"/>
    <col min="5" max="5" width="8.6640625" style="34" customWidth="1"/>
    <col min="6" max="6" width="46.109375" style="34" customWidth="1"/>
    <col min="7" max="7" width="7.33203125" style="33" customWidth="1"/>
    <col min="8" max="8" width="9.33203125" style="34" customWidth="1"/>
    <col min="9" max="9" width="40" style="34" customWidth="1"/>
    <col min="10" max="10" width="9.33203125" style="35" customWidth="1"/>
    <col min="11" max="12" width="9.33203125" style="33" customWidth="1"/>
    <col min="13" max="13" width="4.44140625" style="33" customWidth="1"/>
    <col min="14" max="14" width="5.44140625" style="33" customWidth="1"/>
    <col min="15" max="16384" width="11.109375" style="33"/>
  </cols>
  <sheetData>
    <row r="1" spans="2:13" ht="70.95" customHeight="1" x14ac:dyDescent="0.3"/>
    <row r="2" spans="2:13" ht="25.95" customHeight="1" x14ac:dyDescent="0.3">
      <c r="B2" s="39"/>
      <c r="C2" s="81"/>
      <c r="D2" s="36"/>
      <c r="E2" s="37"/>
      <c r="F2" s="55"/>
      <c r="G2" s="36"/>
      <c r="H2" s="37"/>
      <c r="I2" s="37"/>
      <c r="J2" s="38"/>
      <c r="K2" s="36"/>
      <c r="L2" s="36"/>
      <c r="M2" s="41"/>
    </row>
    <row r="3" spans="2:13" ht="12.45" customHeight="1" x14ac:dyDescent="0.3">
      <c r="B3" s="40"/>
      <c r="C3" s="144" t="s">
        <v>0</v>
      </c>
      <c r="D3" s="145"/>
      <c r="E3" s="128" t="s">
        <v>1</v>
      </c>
      <c r="F3" s="129"/>
      <c r="G3" s="129"/>
      <c r="H3" s="129"/>
      <c r="I3" s="130"/>
      <c r="J3" s="124" t="s">
        <v>2</v>
      </c>
      <c r="K3" s="124"/>
      <c r="L3" s="124"/>
      <c r="M3" s="42"/>
    </row>
    <row r="4" spans="2:13" ht="12.45" customHeight="1" x14ac:dyDescent="0.3">
      <c r="B4" s="40"/>
      <c r="C4" s="146"/>
      <c r="D4" s="147"/>
      <c r="E4" s="131"/>
      <c r="F4" s="132"/>
      <c r="G4" s="132"/>
      <c r="H4" s="132"/>
      <c r="I4" s="133"/>
      <c r="J4" s="125"/>
      <c r="K4" s="125"/>
      <c r="L4" s="125"/>
      <c r="M4" s="42"/>
    </row>
    <row r="5" spans="2:13" ht="12.45" customHeight="1" x14ac:dyDescent="0.3">
      <c r="B5" s="40"/>
      <c r="C5" s="146"/>
      <c r="D5" s="147"/>
      <c r="E5" s="134" t="s">
        <v>3</v>
      </c>
      <c r="F5" s="135"/>
      <c r="G5" s="135"/>
      <c r="H5" s="135"/>
      <c r="I5" s="136"/>
      <c r="J5" s="154" t="s">
        <v>4</v>
      </c>
      <c r="K5" s="155"/>
      <c r="L5" s="152" t="s">
        <v>5</v>
      </c>
      <c r="M5" s="42"/>
    </row>
    <row r="6" spans="2:13" ht="12.45" customHeight="1" x14ac:dyDescent="0.3">
      <c r="B6" s="40"/>
      <c r="C6" s="148"/>
      <c r="D6" s="149"/>
      <c r="E6" s="137" t="s">
        <v>6</v>
      </c>
      <c r="F6" s="138"/>
      <c r="G6" s="138"/>
      <c r="H6" s="138"/>
      <c r="I6" s="139"/>
      <c r="J6" s="156"/>
      <c r="K6" s="157"/>
      <c r="L6" s="153"/>
      <c r="M6" s="42"/>
    </row>
    <row r="7" spans="2:13" ht="9.4499999999999993" customHeight="1" x14ac:dyDescent="0.3">
      <c r="B7" s="40"/>
      <c r="C7" s="82"/>
      <c r="D7" s="2"/>
      <c r="E7" s="2"/>
      <c r="F7" s="2"/>
      <c r="G7" s="2"/>
      <c r="H7" s="2"/>
      <c r="I7" s="2"/>
      <c r="J7" s="24"/>
      <c r="K7" s="2"/>
      <c r="L7" s="2"/>
      <c r="M7" s="42"/>
    </row>
    <row r="8" spans="2:13" ht="17.25" customHeight="1" x14ac:dyDescent="0.3">
      <c r="B8" s="40"/>
      <c r="C8" s="142" t="s">
        <v>7</v>
      </c>
      <c r="D8" s="143"/>
      <c r="E8" s="143"/>
      <c r="F8" s="140" t="str">
        <f>Notas!B4&amp;" "&amp;Notas!B3</f>
        <v xml:space="preserve"> </v>
      </c>
      <c r="G8" s="140"/>
      <c r="H8" s="140"/>
      <c r="I8" s="141"/>
      <c r="J8" s="127" t="s">
        <v>8</v>
      </c>
      <c r="K8" s="127"/>
      <c r="L8" s="58">
        <f ca="1">TODAY()</f>
        <v>46132</v>
      </c>
      <c r="M8" s="42"/>
    </row>
    <row r="9" spans="2:13" ht="17.25" customHeight="1" x14ac:dyDescent="0.3">
      <c r="B9" s="40"/>
      <c r="C9" s="150" t="s">
        <v>9</v>
      </c>
      <c r="D9" s="151"/>
      <c r="E9" s="151"/>
      <c r="F9" s="120" t="s">
        <v>125</v>
      </c>
      <c r="G9" s="120"/>
      <c r="H9" s="120"/>
      <c r="I9" s="121"/>
      <c r="J9" s="126" t="s">
        <v>10</v>
      </c>
      <c r="K9" s="126"/>
      <c r="L9" s="57" t="str">
        <f>LEFT(Notas!A9,4)&amp;" - "&amp;IF((MID(Notas!A9,8,1))&gt;2,2,1)</f>
        <v xml:space="preserve"> - 2</v>
      </c>
      <c r="M9" s="42"/>
    </row>
    <row r="10" spans="2:13" ht="9.4499999999999993" customHeight="1" x14ac:dyDescent="0.3">
      <c r="B10" s="40"/>
      <c r="C10" s="82"/>
      <c r="D10" s="18"/>
      <c r="E10" s="20"/>
      <c r="F10" s="20"/>
      <c r="G10" s="18"/>
      <c r="H10" s="25"/>
      <c r="I10" s="20"/>
      <c r="J10" s="19"/>
      <c r="K10" s="18"/>
      <c r="L10" s="18"/>
      <c r="M10" s="42"/>
    </row>
    <row r="11" spans="2:13" ht="18" customHeight="1" x14ac:dyDescent="0.3">
      <c r="B11" s="40"/>
      <c r="C11" s="158" t="s">
        <v>11</v>
      </c>
      <c r="D11" s="159"/>
      <c r="E11" s="122" t="s">
        <v>12</v>
      </c>
      <c r="F11" s="123"/>
      <c r="G11" s="59" t="s">
        <v>11</v>
      </c>
      <c r="H11" s="122" t="s">
        <v>13</v>
      </c>
      <c r="I11" s="123"/>
      <c r="J11" s="60" t="s">
        <v>14</v>
      </c>
      <c r="K11" s="61" t="s">
        <v>15</v>
      </c>
      <c r="L11" s="61" t="s">
        <v>16</v>
      </c>
      <c r="M11" s="42"/>
    </row>
    <row r="12" spans="2:13" ht="13.8" customHeight="1" x14ac:dyDescent="0.3">
      <c r="B12" s="40"/>
      <c r="C12" s="178" t="s">
        <v>62</v>
      </c>
      <c r="D12" s="62" t="s">
        <v>37</v>
      </c>
      <c r="E12" s="78" t="s">
        <v>38</v>
      </c>
      <c r="F12" s="63"/>
      <c r="G12" s="64" t="str">
        <f>IF($F$8=" ","",IFERROR(IF($L$9="","",IFERROR(VLOOKUP(IFERROR(VLOOKUP(D12,Notas!B:B,1,FALSE),VLOOKUP(D12,Equivalencia!A:F,5,FALSE)),Notas!B:B,1,FALSE),VLOOKUP(D12,Equivalencia!A:H,8,FALSE))),""))</f>
        <v/>
      </c>
      <c r="H12" s="94" t="str">
        <f>IFERROR(IF($L$9="","",IFERROR(IFERROR(VLOOKUP(G12,Equivalencia!A:B,2,FALSE),VLOOKUP(G12,Equivalencia!E:F,2,FALSE)),VLOOKUP(G12,Equivalencia!H:I,2,FALSE))),"")</f>
        <v/>
      </c>
      <c r="I12" s="95"/>
      <c r="J12" s="65">
        <v>2</v>
      </c>
      <c r="K12" s="66" t="str">
        <f>IF($F$8=" ","",VLOOKUP(G12,Notas!B:K,8,FALSE)/1000)</f>
        <v/>
      </c>
      <c r="L12" s="67" t="str">
        <f>IFERROR(IF(VLOOKUP(G12,Notas!B:K,9,FALSE)=".000","",VLOOKUP(G12,Notas!B:K,9,FALSE)/1000),"")</f>
        <v/>
      </c>
      <c r="M12" s="42"/>
    </row>
    <row r="13" spans="2:13" ht="13.8" customHeight="1" x14ac:dyDescent="0.3">
      <c r="B13" s="40"/>
      <c r="C13" s="178"/>
      <c r="D13" s="68" t="s">
        <v>131</v>
      </c>
      <c r="E13" s="79" t="s">
        <v>84</v>
      </c>
      <c r="F13" s="69"/>
      <c r="G13" s="70" t="str">
        <f>IF($F$8=" ","",IFERROR(IF($L$9="","",IFERROR(VLOOKUP(IFERROR(VLOOKUP(D13,Notas!B:B,1,FALSE),VLOOKUP(D13,Equivalencia!A:F,5,FALSE)),Notas!B:B,1,FALSE),VLOOKUP(D13,Equivalencia!A:H,8,FALSE))),""))</f>
        <v/>
      </c>
      <c r="H13" s="86" t="str">
        <f>IFERROR(IF($L$9="","",IFERROR(IFERROR(VLOOKUP(G13,Equivalencia!A:B,2,FALSE),VLOOKUP(G13,Equivalencia!E:F,2,FALSE)),VLOOKUP(G13,Equivalencia!H:I,2,FALSE))),"")</f>
        <v/>
      </c>
      <c r="I13" s="87"/>
      <c r="J13" s="71">
        <v>2</v>
      </c>
      <c r="K13" s="72" t="str">
        <f>IF($F$8=" ","",VLOOKUP(G13,Notas!B:K,8,FALSE)/1000)</f>
        <v/>
      </c>
      <c r="L13" s="73" t="str">
        <f>IFERROR(IF(VLOOKUP(G13,Notas!B:K,9,FALSE)=".000","",VLOOKUP(G13,Notas!B:K,9,FALSE)/1000),"")</f>
        <v/>
      </c>
      <c r="M13" s="42"/>
    </row>
    <row r="14" spans="2:13" ht="13.8" customHeight="1" x14ac:dyDescent="0.3">
      <c r="B14" s="40"/>
      <c r="C14" s="178"/>
      <c r="D14" s="68" t="s">
        <v>39</v>
      </c>
      <c r="E14" s="79" t="s">
        <v>85</v>
      </c>
      <c r="F14" s="69"/>
      <c r="G14" s="70" t="str">
        <f>IF($F$8=" ","",IFERROR(IF($L$9="","",IFERROR(VLOOKUP(IFERROR(VLOOKUP(D14,Notas!B:B,1,FALSE),VLOOKUP(D14,Equivalencia!A:F,5,FALSE)),Notas!B:B,1,FALSE),VLOOKUP(D14,Equivalencia!A:H,8,FALSE))),""))</f>
        <v/>
      </c>
      <c r="H14" s="86" t="str">
        <f>IFERROR(IF($L$9="","",IFERROR(IFERROR(VLOOKUP(G14,Equivalencia!A:B,2,FALSE),VLOOKUP(G14,Equivalencia!E:F,2,FALSE)),VLOOKUP(G14,Equivalencia!H:I,2,FALSE))),"")</f>
        <v/>
      </c>
      <c r="I14" s="87"/>
      <c r="J14" s="71">
        <v>2</v>
      </c>
      <c r="K14" s="72" t="str">
        <f>IF($F$8=" ","",VLOOKUP(G14,Notas!B:K,8,FALSE)/1000)</f>
        <v/>
      </c>
      <c r="L14" s="73" t="str">
        <f>IFERROR(IF(VLOOKUP(G14,Notas!B:K,9,FALSE)=".000","",VLOOKUP(G14,Notas!B:K,9,FALSE)/1000),"")</f>
        <v/>
      </c>
      <c r="M14" s="42"/>
    </row>
    <row r="15" spans="2:13" ht="13.8" customHeight="1" x14ac:dyDescent="0.3">
      <c r="B15" s="40"/>
      <c r="C15" s="178"/>
      <c r="D15" s="68" t="s">
        <v>40</v>
      </c>
      <c r="E15" s="79" t="s">
        <v>86</v>
      </c>
      <c r="F15" s="69"/>
      <c r="G15" s="70" t="str">
        <f>IF($F$8=" ","",IFERROR(IF($L$9="","",IFERROR(VLOOKUP(IFERROR(VLOOKUP(D15,Notas!B:B,1,FALSE),VLOOKUP(D15,Equivalencia!A:F,5,FALSE)),Notas!B:B,1,FALSE),VLOOKUP(D15,Equivalencia!A:H,8,FALSE))),""))</f>
        <v/>
      </c>
      <c r="H15" s="86" t="str">
        <f>IFERROR(IF($L$9="","",IFERROR(IFERROR(VLOOKUP(G15,Equivalencia!A:B,2,FALSE),VLOOKUP(G15,Equivalencia!E:F,2,FALSE)),VLOOKUP(G15,Equivalencia!H:I,2,FALSE))),"")</f>
        <v/>
      </c>
      <c r="I15" s="87"/>
      <c r="J15" s="71">
        <v>2</v>
      </c>
      <c r="K15" s="72" t="str">
        <f>IF($F$8=" ","",VLOOKUP(G15,Notas!B:K,8,FALSE)/1000)</f>
        <v/>
      </c>
      <c r="L15" s="73" t="str">
        <f>IFERROR(IF(VLOOKUP(G15,Notas!B:K,9,FALSE)=".000","",VLOOKUP(G15,Notas!B:K,9,FALSE)/1000),"")</f>
        <v/>
      </c>
      <c r="M15" s="42"/>
    </row>
    <row r="16" spans="2:13" ht="13.8" customHeight="1" x14ac:dyDescent="0.3">
      <c r="B16" s="40"/>
      <c r="C16" s="178"/>
      <c r="D16" s="68" t="s">
        <v>41</v>
      </c>
      <c r="E16" s="79" t="s">
        <v>42</v>
      </c>
      <c r="F16" s="69"/>
      <c r="G16" s="70" t="str">
        <f>IF($F$8=" ","",IFERROR(IF($L$9="","",IFERROR(VLOOKUP(IFERROR(VLOOKUP(D16,Notas!B:B,1,FALSE),VLOOKUP(D16,Equivalencia!A:F,5,FALSE)),Notas!B:B,1,FALSE),VLOOKUP(D16,Equivalencia!A:H,8,FALSE))),""))</f>
        <v/>
      </c>
      <c r="H16" s="86" t="str">
        <f>IFERROR(IF($L$9="","",IFERROR(IFERROR(VLOOKUP(G16,Equivalencia!A:B,2,FALSE),VLOOKUP(G16,Equivalencia!E:F,2,FALSE)),VLOOKUP(G16,Equivalencia!H:I,2,FALSE))),"")</f>
        <v/>
      </c>
      <c r="I16" s="87"/>
      <c r="J16" s="71">
        <v>2</v>
      </c>
      <c r="K16" s="72" t="str">
        <f>IF($F$8=" ","",VLOOKUP(G16,Notas!B:K,8,FALSE)/1000)</f>
        <v/>
      </c>
      <c r="L16" s="73" t="str">
        <f>IFERROR(IF(VLOOKUP(G16,Notas!B:K,9,FALSE)=".000","",VLOOKUP(G16,Notas!B:K,9,FALSE)/1000),"")</f>
        <v/>
      </c>
      <c r="M16" s="42"/>
    </row>
    <row r="17" spans="2:13" ht="13.8" customHeight="1" x14ac:dyDescent="0.3">
      <c r="B17" s="40"/>
      <c r="C17" s="178"/>
      <c r="D17" s="91" t="s">
        <v>43</v>
      </c>
      <c r="E17" s="92" t="s">
        <v>44</v>
      </c>
      <c r="F17" s="93"/>
      <c r="G17" s="74" t="str">
        <f>IF($F$8=" ","",IFERROR(IF($L$9="","",IFERROR(VLOOKUP(IFERROR(VLOOKUP(D17,Notas!B:B,1,FALSE),VLOOKUP(D17,Equivalencia!A:F,5,FALSE)),Notas!B:B,1,FALSE),VLOOKUP(D17,Equivalencia!A:H,8,FALSE))),""))</f>
        <v/>
      </c>
      <c r="H17" s="96" t="str">
        <f>IFERROR(IF($L$9="","",IFERROR(IFERROR(VLOOKUP(G17,Equivalencia!A:B,2,FALSE),VLOOKUP(G17,Equivalencia!E:F,2,FALSE)),VLOOKUP(G17,Equivalencia!H:I,2,FALSE))),"")</f>
        <v/>
      </c>
      <c r="I17" s="97"/>
      <c r="J17" s="75">
        <v>2</v>
      </c>
      <c r="K17" s="76" t="str">
        <f>IF($F$8=" ","",VLOOKUP(G17,Notas!B:K,8,FALSE)/1000)</f>
        <v/>
      </c>
      <c r="L17" s="77" t="str">
        <f>IFERROR(IF(VLOOKUP(G17,Notas!B:K,9,FALSE)=".000","",VLOOKUP(G17,Notas!B:K,9,FALSE)/1000),"")</f>
        <v/>
      </c>
      <c r="M17" s="42"/>
    </row>
    <row r="18" spans="2:13" ht="13.8" customHeight="1" x14ac:dyDescent="0.3">
      <c r="B18" s="40"/>
      <c r="C18" s="179" t="s">
        <v>63</v>
      </c>
      <c r="D18" s="62" t="s">
        <v>64</v>
      </c>
      <c r="E18" s="78" t="s">
        <v>65</v>
      </c>
      <c r="F18" s="63"/>
      <c r="G18" s="64" t="str">
        <f>IF($F$8=" ","",IFERROR(IF($L$9="","",IFERROR(VLOOKUP(IFERROR(VLOOKUP(D18,Notas!B:B,1,FALSE),VLOOKUP(D18,Equivalencia!A:F,5,FALSE)),Notas!B:B,1,FALSE),VLOOKUP(D18,Equivalencia!A:H,8,FALSE))),""))</f>
        <v/>
      </c>
      <c r="H18" s="94" t="str">
        <f>IFERROR(IF($L$9="","",IFERROR(IFERROR(VLOOKUP(G18,Equivalencia!A:B,2,FALSE),VLOOKUP(G18,Equivalencia!E:F,2,FALSE)),VLOOKUP(G18,Equivalencia!H:I,2,FALSE))),"")</f>
        <v/>
      </c>
      <c r="I18" s="95"/>
      <c r="J18" s="65">
        <v>1</v>
      </c>
      <c r="K18" s="66" t="str">
        <f>IF($F$8=" ","",VLOOKUP(G18,Notas!B:K,8,FALSE)/1000)</f>
        <v/>
      </c>
      <c r="L18" s="67" t="str">
        <f>IFERROR(IF(VLOOKUP(G18,Notas!B:K,9,FALSE)=".000","",VLOOKUP(G18,Notas!B:K,9,FALSE)/1000),"")</f>
        <v/>
      </c>
      <c r="M18" s="42"/>
    </row>
    <row r="19" spans="2:13" ht="13.8" customHeight="1" x14ac:dyDescent="0.3">
      <c r="B19" s="40"/>
      <c r="C19" s="179"/>
      <c r="D19" s="98" t="s">
        <v>66</v>
      </c>
      <c r="E19" s="79" t="s">
        <v>172</v>
      </c>
      <c r="F19" s="69"/>
      <c r="G19" s="70" t="str">
        <f>IF($F$8=" ","",IFERROR(IF($L$9="","",IFERROR(VLOOKUP(IFERROR(VLOOKUP(D19,Notas!B:B,1,FALSE),VLOOKUP(D19,Equivalencia!A:F,5,FALSE)),Notas!B:B,1,FALSE),VLOOKUP(D19,Equivalencia!A:H,8,FALSE))),""))</f>
        <v/>
      </c>
      <c r="H19" s="86" t="str">
        <f>IFERROR(IF($L$9="","",IFERROR(IFERROR(VLOOKUP(G19,Equivalencia!A:B,2,FALSE),VLOOKUP(G19,Equivalencia!E:F,2,FALSE)),VLOOKUP(G19,Equivalencia!H:I,2,FALSE))),"")</f>
        <v/>
      </c>
      <c r="I19" s="87"/>
      <c r="J19" s="71">
        <v>1</v>
      </c>
      <c r="K19" s="72" t="str">
        <f>IF($F$8=" ","",VLOOKUP(G19,Notas!B:K,8,FALSE)/1000)</f>
        <v/>
      </c>
      <c r="L19" s="73" t="str">
        <f>IFERROR(IF(VLOOKUP(G19,Notas!B:K,9,FALSE)=".000","",VLOOKUP(G19,Notas!B:K,9,FALSE)/1000),"")</f>
        <v/>
      </c>
      <c r="M19" s="42"/>
    </row>
    <row r="20" spans="2:13" ht="13.8" customHeight="1" x14ac:dyDescent="0.3">
      <c r="B20" s="40"/>
      <c r="C20" s="179"/>
      <c r="D20" s="98" t="s">
        <v>132</v>
      </c>
      <c r="E20" s="79" t="s">
        <v>67</v>
      </c>
      <c r="F20" s="69"/>
      <c r="G20" s="70" t="str">
        <f>IF($F$8=" ","",IFERROR(IF($L$9="","",IFERROR(VLOOKUP(IFERROR(VLOOKUP(D20,Notas!B:B,1,FALSE),VLOOKUP(D20,Equivalencia!A:F,5,FALSE)),Notas!B:B,1,FALSE),VLOOKUP(D20,Equivalencia!A:H,8,FALSE))),""))</f>
        <v/>
      </c>
      <c r="H20" s="86" t="str">
        <f>IFERROR(IF($L$9="","",IFERROR(IFERROR(VLOOKUP(G20,Equivalencia!A:B,2,FALSE),VLOOKUP(G20,Equivalencia!E:F,2,FALSE)),VLOOKUP(G20,Equivalencia!H:I,2,FALSE))),"")</f>
        <v/>
      </c>
      <c r="I20" s="87"/>
      <c r="J20" s="71">
        <v>2</v>
      </c>
      <c r="K20" s="72" t="str">
        <f>IF($F$8=" ","",VLOOKUP(G20,Notas!B:K,8,FALSE)/1000)</f>
        <v/>
      </c>
      <c r="L20" s="73" t="str">
        <f>IFERROR(IF(VLOOKUP(G20,Notas!B:K,9,FALSE)=".000","",VLOOKUP(G20,Notas!B:K,9,FALSE)/1000),"")</f>
        <v/>
      </c>
      <c r="M20" s="42"/>
    </row>
    <row r="21" spans="2:13" ht="13.8" customHeight="1" x14ac:dyDescent="0.3">
      <c r="B21" s="40"/>
      <c r="C21" s="179"/>
      <c r="D21" s="98" t="s">
        <v>135</v>
      </c>
      <c r="E21" s="79" t="s">
        <v>173</v>
      </c>
      <c r="F21" s="69"/>
      <c r="G21" s="70" t="str">
        <f>IF($F$8=" ","",IFERROR(IF($L$9="","",IFERROR(VLOOKUP(IFERROR(VLOOKUP(D21,Notas!B:B,1,FALSE),VLOOKUP(D21,Equivalencia!A:F,5,FALSE)),Notas!B:B,1,FALSE),VLOOKUP(D21,Equivalencia!A:H,8,FALSE))),""))</f>
        <v/>
      </c>
      <c r="H21" s="86" t="str">
        <f>IFERROR(IF($L$9="","",IFERROR(IFERROR(VLOOKUP(G21,Equivalencia!A:B,2,FALSE),VLOOKUP(G21,Equivalencia!E:F,2,FALSE)),VLOOKUP(G21,Equivalencia!H:I,2,FALSE))),"")</f>
        <v/>
      </c>
      <c r="I21" s="87"/>
      <c r="J21" s="71">
        <v>1</v>
      </c>
      <c r="K21" s="72" t="str">
        <f>IF($F$8=" ","",VLOOKUP(G21,Notas!B:K,8,FALSE)/1000)</f>
        <v/>
      </c>
      <c r="L21" s="73" t="str">
        <f>IFERROR(IF(VLOOKUP(G21,Notas!B:K,9,FALSE)=".000","",VLOOKUP(G21,Notas!B:K,9,FALSE)/1000),"")</f>
        <v/>
      </c>
      <c r="M21" s="42"/>
    </row>
    <row r="22" spans="2:13" ht="13.8" customHeight="1" x14ac:dyDescent="0.3">
      <c r="B22" s="40"/>
      <c r="C22" s="179"/>
      <c r="D22" s="98" t="s">
        <v>68</v>
      </c>
      <c r="E22" s="79" t="s">
        <v>163</v>
      </c>
      <c r="F22" s="69"/>
      <c r="G22" s="70" t="str">
        <f>IF($F$8=" ","",IFERROR(IF($L$9="","",IFERROR(VLOOKUP(IFERROR(VLOOKUP(D22,Notas!B:B,1,FALSE),VLOOKUP(D22,Equivalencia!A:F,5,FALSE)),Notas!B:B,1,FALSE),VLOOKUP(D22,Equivalencia!A:H,8,FALSE))),""))</f>
        <v/>
      </c>
      <c r="H22" s="86" t="str">
        <f>IFERROR(IF($L$9="","",IFERROR(IFERROR(VLOOKUP(G22,Equivalencia!A:B,2,FALSE),VLOOKUP(G22,Equivalencia!E:F,2,FALSE)),VLOOKUP(G22,Equivalencia!H:I,2,FALSE))),"")</f>
        <v/>
      </c>
      <c r="I22" s="87"/>
      <c r="J22" s="71">
        <v>1</v>
      </c>
      <c r="K22" s="72" t="str">
        <f>IF($F$8=" ","",VLOOKUP(G22,Notas!B:K,8,FALSE)/1000)</f>
        <v/>
      </c>
      <c r="L22" s="73" t="str">
        <f>IFERROR(IF(VLOOKUP(G22,Notas!B:K,9,FALSE)=".000","",VLOOKUP(G22,Notas!B:K,9,FALSE)/1000),"")</f>
        <v/>
      </c>
      <c r="M22" s="42"/>
    </row>
    <row r="23" spans="2:13" ht="13.8" customHeight="1" x14ac:dyDescent="0.3">
      <c r="B23" s="40"/>
      <c r="C23" s="179"/>
      <c r="D23" s="98" t="s">
        <v>51</v>
      </c>
      <c r="E23" s="79" t="s">
        <v>52</v>
      </c>
      <c r="F23" s="69"/>
      <c r="G23" s="70" t="str">
        <f>IF($F$8=" ","",IFERROR(IF($L$9="","",IFERROR(VLOOKUP(IFERROR(VLOOKUP(D23,Notas!B:B,1,FALSE),VLOOKUP(D23,Equivalencia!A:F,5,FALSE)),Notas!B:B,1,FALSE),VLOOKUP(D23,Equivalencia!A:H,8,FALSE))),""))</f>
        <v/>
      </c>
      <c r="H23" s="86" t="str">
        <f>IFERROR(IF($L$9="","",IFERROR(IFERROR(VLOOKUP(G23,Equivalencia!A:B,2,FALSE),VLOOKUP(G23,Equivalencia!E:F,2,FALSE)),VLOOKUP(G23,Equivalencia!H:I,2,FALSE))),"")</f>
        <v/>
      </c>
      <c r="I23" s="87"/>
      <c r="J23" s="71">
        <v>1</v>
      </c>
      <c r="K23" s="72" t="str">
        <f>IF($F$8=" ","",VLOOKUP(G23,Notas!B:K,8,FALSE)/1000)</f>
        <v/>
      </c>
      <c r="L23" s="73" t="str">
        <f>IFERROR(IF(VLOOKUP(G23,Notas!B:K,9,FALSE)=".000","",VLOOKUP(G23,Notas!B:K,9,FALSE)/1000),"")</f>
        <v/>
      </c>
      <c r="M23" s="42"/>
    </row>
    <row r="24" spans="2:13" ht="13.8" customHeight="1" x14ac:dyDescent="0.3">
      <c r="B24" s="40"/>
      <c r="C24" s="179"/>
      <c r="D24" s="98" t="s">
        <v>69</v>
      </c>
      <c r="E24" s="79" t="s">
        <v>70</v>
      </c>
      <c r="F24" s="69"/>
      <c r="G24" s="70" t="str">
        <f>IF($F$8=" ","",IFERROR(IF($L$9="","",IFERROR(VLOOKUP(IFERROR(VLOOKUP(D24,Notas!B:B,1,FALSE),VLOOKUP(D24,Equivalencia!A:F,5,FALSE)),Notas!B:B,1,FALSE),VLOOKUP(D24,Equivalencia!A:H,8,FALSE))),""))</f>
        <v/>
      </c>
      <c r="H24" s="86" t="str">
        <f>IFERROR(IF($L$9="","",IFERROR(IFERROR(VLOOKUP(G24,Equivalencia!A:B,2,FALSE),VLOOKUP(G24,Equivalencia!E:F,2,FALSE)),VLOOKUP(G24,Equivalencia!H:I,2,FALSE))),"")</f>
        <v/>
      </c>
      <c r="I24" s="87"/>
      <c r="J24" s="71">
        <v>1</v>
      </c>
      <c r="K24" s="72" t="str">
        <f>IF($F$8=" ","",VLOOKUP(G24,Notas!B:K,8,FALSE)/1000)</f>
        <v/>
      </c>
      <c r="L24" s="73" t="str">
        <f>IFERROR(IF(VLOOKUP(G24,Notas!B:K,9,FALSE)=".000","",VLOOKUP(G24,Notas!B:K,9,FALSE)/1000),"")</f>
        <v/>
      </c>
      <c r="M24" s="42"/>
    </row>
    <row r="25" spans="2:13" ht="13.8" customHeight="1" x14ac:dyDescent="0.3">
      <c r="B25" s="40"/>
      <c r="C25" s="179"/>
      <c r="D25" s="98" t="s">
        <v>71</v>
      </c>
      <c r="E25" s="79" t="s">
        <v>164</v>
      </c>
      <c r="F25" s="69"/>
      <c r="G25" s="70" t="str">
        <f>IF($F$8=" ","",IFERROR(IF($L$9="","",IFERROR(VLOOKUP(IFERROR(VLOOKUP(D25,Notas!B:B,1,FALSE),VLOOKUP(D25,Equivalencia!A:F,5,FALSE)),Notas!B:B,1,FALSE),VLOOKUP(D25,Equivalencia!A:H,8,FALSE))),""))</f>
        <v/>
      </c>
      <c r="H25" s="86" t="str">
        <f>IFERROR(IF($L$9="","",IFERROR(IFERROR(VLOOKUP(G25,Equivalencia!A:B,2,FALSE),VLOOKUP(G25,Equivalencia!E:F,2,FALSE)),VLOOKUP(G25,Equivalencia!H:I,2,FALSE))),"")</f>
        <v/>
      </c>
      <c r="I25" s="87"/>
      <c r="J25" s="71">
        <v>1</v>
      </c>
      <c r="K25" s="72" t="str">
        <f>IF($F$8=" ","",VLOOKUP(G25,Notas!B:K,8,FALSE)/1000)</f>
        <v/>
      </c>
      <c r="L25" s="73" t="str">
        <f>IFERROR(IF(VLOOKUP(G25,Notas!B:K,9,FALSE)=".000","",VLOOKUP(G25,Notas!B:K,9,FALSE)/1000),"")</f>
        <v/>
      </c>
      <c r="M25" s="42"/>
    </row>
    <row r="26" spans="2:13" ht="13.8" customHeight="1" x14ac:dyDescent="0.3">
      <c r="B26" s="40"/>
      <c r="C26" s="179"/>
      <c r="D26" s="98" t="s">
        <v>130</v>
      </c>
      <c r="E26" s="79" t="s">
        <v>155</v>
      </c>
      <c r="F26" s="69"/>
      <c r="G26" s="70" t="str">
        <f>IF($F$8=" ","",IFERROR(IF($L$9="","",IFERROR(VLOOKUP(IFERROR(VLOOKUP(D26,Notas!B:B,1,FALSE),VLOOKUP(D26,Equivalencia!A:F,5,FALSE)),Notas!B:B,1,FALSE),VLOOKUP(D26,Equivalencia!A:H,8,FALSE))),""))</f>
        <v/>
      </c>
      <c r="H26" s="86" t="str">
        <f>IFERROR(IF($L$9="","",IFERROR(IFERROR(VLOOKUP(G26,Equivalencia!A:B,2,FALSE),VLOOKUP(G26,Equivalencia!E:F,2,FALSE)),VLOOKUP(G26,Equivalencia!H:I,2,FALSE))),"")</f>
        <v/>
      </c>
      <c r="I26" s="87"/>
      <c r="J26" s="71">
        <v>4</v>
      </c>
      <c r="K26" s="72" t="str">
        <f>IF($F$8=" ","",VLOOKUP(G26,Notas!B:K,8,FALSE)/1000)</f>
        <v/>
      </c>
      <c r="L26" s="73" t="str">
        <f>IFERROR(IF(VLOOKUP(G26,Notas!B:K,9,FALSE)=".000","",VLOOKUP(G26,Notas!B:K,9,FALSE)/1000),"")</f>
        <v/>
      </c>
      <c r="M26" s="42"/>
    </row>
    <row r="27" spans="2:13" ht="13.8" customHeight="1" x14ac:dyDescent="0.3">
      <c r="B27" s="40"/>
      <c r="C27" s="179"/>
      <c r="D27" s="98" t="s">
        <v>72</v>
      </c>
      <c r="E27" s="79" t="s">
        <v>147</v>
      </c>
      <c r="F27" s="69"/>
      <c r="G27" s="70" t="str">
        <f>IF($F$8=" ","",IFERROR(IF($L$9="","",IFERROR(VLOOKUP(IFERROR(VLOOKUP(D27,Notas!B:B,1,FALSE),VLOOKUP(D27,Equivalencia!A:F,5,FALSE)),Notas!B:B,1,FALSE),VLOOKUP(D27,Equivalencia!A:H,8,FALSE))),""))</f>
        <v/>
      </c>
      <c r="H27" s="86" t="str">
        <f>IFERROR(IF($L$9="","",IFERROR(IFERROR(VLOOKUP(G27,Equivalencia!A:B,2,FALSE),VLOOKUP(G27,Equivalencia!E:F,2,FALSE)),VLOOKUP(G27,Equivalencia!H:I,2,FALSE))),"")</f>
        <v/>
      </c>
      <c r="I27" s="87"/>
      <c r="J27" s="71">
        <v>1</v>
      </c>
      <c r="K27" s="72" t="str">
        <f>IF($F$8=" ","",VLOOKUP(G27,Notas!B:K,8,FALSE)/1000)</f>
        <v/>
      </c>
      <c r="L27" s="73" t="str">
        <f>IFERROR(IF(VLOOKUP(G27,Notas!B:K,9,FALSE)=".000","",VLOOKUP(G27,Notas!B:K,9,FALSE)/1000),"")</f>
        <v/>
      </c>
      <c r="M27" s="42"/>
    </row>
    <row r="28" spans="2:13" ht="13.8" customHeight="1" x14ac:dyDescent="0.3">
      <c r="B28" s="40"/>
      <c r="C28" s="179"/>
      <c r="D28" s="98" t="s">
        <v>73</v>
      </c>
      <c r="E28" s="79" t="s">
        <v>143</v>
      </c>
      <c r="F28" s="69"/>
      <c r="G28" s="70" t="str">
        <f>IF($F$8=" ","",IFERROR(IF($L$9="","",IFERROR(VLOOKUP(IFERROR(VLOOKUP(D28,Notas!B:B,1,FALSE),VLOOKUP(D28,Equivalencia!A:F,5,FALSE)),Notas!B:B,1,FALSE),VLOOKUP(D28,Equivalencia!A:H,8,FALSE))),""))</f>
        <v/>
      </c>
      <c r="H28" s="86" t="str">
        <f>IFERROR(IF($L$9="","",IFERROR(IFERROR(VLOOKUP(G28,Equivalencia!A:B,2,FALSE),VLOOKUP(G28,Equivalencia!E:F,2,FALSE)),VLOOKUP(G28,Equivalencia!H:I,2,FALSE))),"")</f>
        <v/>
      </c>
      <c r="I28" s="87"/>
      <c r="J28" s="71">
        <v>1</v>
      </c>
      <c r="K28" s="72" t="str">
        <f>IF($F$8=" ","",VLOOKUP(G28,Notas!B:K,8,FALSE)/1000)</f>
        <v/>
      </c>
      <c r="L28" s="73" t="str">
        <f>IFERROR(IF(VLOOKUP(G28,Notas!B:K,9,FALSE)=".000","",VLOOKUP(G28,Notas!B:K,9,FALSE)/1000),"")</f>
        <v/>
      </c>
      <c r="M28" s="42"/>
    </row>
    <row r="29" spans="2:13" ht="13.8" customHeight="1" x14ac:dyDescent="0.3">
      <c r="B29" s="40"/>
      <c r="C29" s="179"/>
      <c r="D29" s="98" t="s">
        <v>48</v>
      </c>
      <c r="E29" s="79" t="s">
        <v>49</v>
      </c>
      <c r="F29" s="69"/>
      <c r="G29" s="70" t="str">
        <f>IF($F$8=" ","",IFERROR(IF($L$9="","",IFERROR(VLOOKUP(IFERROR(VLOOKUP(D29,Notas!B:B,1,FALSE),VLOOKUP(D29,Equivalencia!A:F,5,FALSE)),Notas!B:B,1,FALSE),VLOOKUP(D29,Equivalencia!A:H,8,FALSE))),""))</f>
        <v/>
      </c>
      <c r="H29" s="86" t="str">
        <f>IFERROR(IF($L$9="","",IFERROR(IFERROR(VLOOKUP(G29,Equivalencia!A:B,2,FALSE),VLOOKUP(G29,Equivalencia!E:F,2,FALSE)),VLOOKUP(G29,Equivalencia!H:I,2,FALSE))),"")</f>
        <v/>
      </c>
      <c r="I29" s="87"/>
      <c r="J29" s="71">
        <v>3</v>
      </c>
      <c r="K29" s="72" t="str">
        <f>IF($F$8=" ","",VLOOKUP(G29,Notas!B:K,8,FALSE)/1000)</f>
        <v/>
      </c>
      <c r="L29" s="73" t="str">
        <f>IFERROR(IF(VLOOKUP(G29,Notas!B:K,9,FALSE)=".000","",VLOOKUP(G29,Notas!B:K,9,FALSE)/1000),"")</f>
        <v/>
      </c>
      <c r="M29" s="42"/>
    </row>
    <row r="30" spans="2:13" ht="13.8" customHeight="1" x14ac:dyDescent="0.3">
      <c r="B30" s="40"/>
      <c r="C30" s="179"/>
      <c r="D30" s="98" t="s">
        <v>74</v>
      </c>
      <c r="E30" s="79" t="s">
        <v>75</v>
      </c>
      <c r="F30" s="69"/>
      <c r="G30" s="70" t="str">
        <f>IF($F$8=" ","",IFERROR(IF($L$9="","",IFERROR(VLOOKUP(IFERROR(VLOOKUP(D30,Notas!B:B,1,FALSE),VLOOKUP(D30,Equivalencia!A:F,5,FALSE)),Notas!B:B,1,FALSE),VLOOKUP(D30,Equivalencia!A:H,8,FALSE))),""))</f>
        <v/>
      </c>
      <c r="H30" s="86" t="str">
        <f>IFERROR(IF($L$9="","",IFERROR(IFERROR(VLOOKUP(G30,Equivalencia!A:B,2,FALSE),VLOOKUP(G30,Equivalencia!E:F,2,FALSE)),VLOOKUP(G30,Equivalencia!H:I,2,FALSE))),"")</f>
        <v/>
      </c>
      <c r="I30" s="87"/>
      <c r="J30" s="71">
        <v>2</v>
      </c>
      <c r="K30" s="72" t="str">
        <f>IF($F$8=" ","",VLOOKUP(G30,Notas!B:K,8,FALSE)/1000)</f>
        <v/>
      </c>
      <c r="L30" s="73" t="str">
        <f>IFERROR(IF(VLOOKUP(G30,Notas!B:K,9,FALSE)=".000","",VLOOKUP(G30,Notas!B:K,9,FALSE)/1000),"")</f>
        <v/>
      </c>
      <c r="M30" s="42"/>
    </row>
    <row r="31" spans="2:13" ht="13.8" customHeight="1" x14ac:dyDescent="0.3">
      <c r="B31" s="40"/>
      <c r="C31" s="179"/>
      <c r="D31" s="98" t="s">
        <v>76</v>
      </c>
      <c r="E31" s="79" t="s">
        <v>77</v>
      </c>
      <c r="F31" s="69"/>
      <c r="G31" s="70" t="str">
        <f>IF($F$8=" ","",IFERROR(IF($L$9="","",IFERROR(VLOOKUP(IFERROR(VLOOKUP(D31,Notas!B:B,1,FALSE),VLOOKUP(D31,Equivalencia!A:F,5,FALSE)),Notas!B:B,1,FALSE),VLOOKUP(D31,Equivalencia!A:H,8,FALSE))),""))</f>
        <v/>
      </c>
      <c r="H31" s="86" t="str">
        <f>IFERROR(IF($L$9="","",IFERROR(IFERROR(VLOOKUP(G31,Equivalencia!A:B,2,FALSE),VLOOKUP(G31,Equivalencia!E:F,2,FALSE)),VLOOKUP(G31,Equivalencia!H:I,2,FALSE))),"")</f>
        <v/>
      </c>
      <c r="I31" s="87"/>
      <c r="J31" s="71">
        <v>2</v>
      </c>
      <c r="K31" s="72" t="str">
        <f>IF($F$8=" ","",VLOOKUP(G31,Notas!B:K,8,FALSE)/1000)</f>
        <v/>
      </c>
      <c r="L31" s="73" t="str">
        <f>IFERROR(IF(VLOOKUP(G31,Notas!B:K,9,FALSE)=".000","",VLOOKUP(G31,Notas!B:K,9,FALSE)/1000),"")</f>
        <v/>
      </c>
      <c r="M31" s="42"/>
    </row>
    <row r="32" spans="2:13" ht="13.8" customHeight="1" x14ac:dyDescent="0.3">
      <c r="B32" s="40"/>
      <c r="C32" s="179"/>
      <c r="D32" s="98" t="s">
        <v>46</v>
      </c>
      <c r="E32" s="79" t="s">
        <v>78</v>
      </c>
      <c r="F32" s="69"/>
      <c r="G32" s="70" t="str">
        <f>IF($F$8=" ","",IFERROR(IF($L$9="","",IFERROR(VLOOKUP(IFERROR(VLOOKUP(D32,Notas!B:B,1,FALSE),VLOOKUP(D32,Equivalencia!A:F,5,FALSE)),Notas!B:B,1,FALSE),VLOOKUP(D32,Equivalencia!A:H,8,FALSE))),""))</f>
        <v/>
      </c>
      <c r="H32" s="86" t="str">
        <f>IFERROR(IF($L$9="","",IFERROR(IFERROR(VLOOKUP(G32,Equivalencia!A:B,2,FALSE),VLOOKUP(G32,Equivalencia!E:F,2,FALSE)),VLOOKUP(G32,Equivalencia!H:I,2,FALSE))),"")</f>
        <v/>
      </c>
      <c r="I32" s="87"/>
      <c r="J32" s="71">
        <v>2</v>
      </c>
      <c r="K32" s="72" t="str">
        <f>IF($F$8=" ","",VLOOKUP(G32,Notas!B:K,8,FALSE)/1000)</f>
        <v/>
      </c>
      <c r="L32" s="73" t="str">
        <f>IFERROR(IF(VLOOKUP(G32,Notas!B:K,9,FALSE)=".000","",VLOOKUP(G32,Notas!B:K,9,FALSE)/1000),"")</f>
        <v/>
      </c>
      <c r="M32" s="42"/>
    </row>
    <row r="33" spans="2:13" ht="13.8" customHeight="1" x14ac:dyDescent="0.3">
      <c r="B33" s="40"/>
      <c r="C33" s="179"/>
      <c r="D33" s="98" t="s">
        <v>128</v>
      </c>
      <c r="E33" s="79" t="s">
        <v>79</v>
      </c>
      <c r="F33" s="69"/>
      <c r="G33" s="70" t="str">
        <f>IF($F$8=" ","",IFERROR(IF($L$9="","",IFERROR(VLOOKUP(IFERROR(VLOOKUP(D33,Notas!B:B,1,FALSE),VLOOKUP(D33,Equivalencia!A:F,5,FALSE)),Notas!B:B,1,FALSE),VLOOKUP(D33,Equivalencia!A:H,8,FALSE))),""))</f>
        <v/>
      </c>
      <c r="H33" s="86" t="str">
        <f>IFERROR(IF($L$9="","",IFERROR(IFERROR(VLOOKUP(G33,Equivalencia!A:B,2,FALSE),VLOOKUP(G33,Equivalencia!E:F,2,FALSE)),VLOOKUP(G33,Equivalencia!H:I,2,FALSE))),"")</f>
        <v/>
      </c>
      <c r="I33" s="87"/>
      <c r="J33" s="71">
        <v>3</v>
      </c>
      <c r="K33" s="72" t="str">
        <f>IF($F$8=" ","",VLOOKUP(G33,Notas!B:K,8,FALSE)/1000)</f>
        <v/>
      </c>
      <c r="L33" s="73" t="str">
        <f>IFERROR(IF(VLOOKUP(G33,Notas!B:K,9,FALSE)=".000","",VLOOKUP(G33,Notas!B:K,9,FALSE)/1000),"")</f>
        <v/>
      </c>
      <c r="M33" s="42"/>
    </row>
    <row r="34" spans="2:13" ht="13.8" customHeight="1" x14ac:dyDescent="0.3">
      <c r="B34" s="40"/>
      <c r="C34" s="179"/>
      <c r="D34" s="107" t="s">
        <v>80</v>
      </c>
      <c r="E34" s="92" t="s">
        <v>140</v>
      </c>
      <c r="F34" s="93"/>
      <c r="G34" s="74" t="str">
        <f>IF($F$8=" ","",IFERROR(IF($L$9="","",IFERROR(VLOOKUP(IFERROR(VLOOKUP(D34,Notas!B:B,1,FALSE),VLOOKUP(D34,Equivalencia!A:F,5,FALSE)),Notas!B:B,1,FALSE),VLOOKUP(D34,Equivalencia!A:H,8,FALSE))),""))</f>
        <v/>
      </c>
      <c r="H34" s="96" t="str">
        <f>IFERROR(IF($L$9="","",IFERROR(IFERROR(VLOOKUP(G34,Equivalencia!A:B,2,FALSE),VLOOKUP(G34,Equivalencia!E:F,2,FALSE)),VLOOKUP(G34,Equivalencia!H:I,2,FALSE))),"")</f>
        <v/>
      </c>
      <c r="I34" s="97"/>
      <c r="J34" s="75">
        <v>3</v>
      </c>
      <c r="K34" s="76" t="str">
        <f>IF($F$8=" ","",VLOOKUP(G34,Notas!B:K,8,FALSE)/1000)</f>
        <v/>
      </c>
      <c r="L34" s="77" t="str">
        <f>IFERROR(IF(VLOOKUP(G34,Notas!B:K,9,FALSE)=".000","",VLOOKUP(G34,Notas!B:K,9,FALSE)/1000),"")</f>
        <v/>
      </c>
      <c r="M34" s="42"/>
    </row>
    <row r="35" spans="2:13" ht="13.8" customHeight="1" x14ac:dyDescent="0.3">
      <c r="B35" s="40"/>
      <c r="C35" s="111" t="s">
        <v>101</v>
      </c>
      <c r="D35" s="62" t="s">
        <v>17</v>
      </c>
      <c r="E35" s="78" t="s">
        <v>170</v>
      </c>
      <c r="F35" s="63"/>
      <c r="G35" s="64" t="str">
        <f>IF($F$8=" ","",IFERROR(IF($L$9="","",IFERROR(VLOOKUP(IFERROR(VLOOKUP(D35,Notas!B:B,1,FALSE),VLOOKUP(D35,Equivalencia!A:F,5,FALSE)),Notas!B:B,1,FALSE),VLOOKUP(D35,Equivalencia!A:H,8,FALSE))),""))</f>
        <v/>
      </c>
      <c r="H35" s="94" t="str">
        <f>IFERROR(IF($L$9="","",IFERROR(IFERROR(VLOOKUP(G35,Equivalencia!A:B,2,FALSE),VLOOKUP(G35,Equivalencia!E:F,2,FALSE)),VLOOKUP(G35,Equivalencia!H:I,2,FALSE))),"")</f>
        <v/>
      </c>
      <c r="I35" s="95"/>
      <c r="J35" s="65">
        <v>4</v>
      </c>
      <c r="K35" s="66" t="str">
        <f>IF($F$8=" ","",VLOOKUP(G35,Notas!B:K,8,FALSE)/1000)</f>
        <v/>
      </c>
      <c r="L35" s="67" t="str">
        <f>IFERROR(IF(VLOOKUP(G35,Notas!B:K,9,FALSE)=".000","",VLOOKUP(G35,Notas!B:K,9,FALSE)/1000),"")</f>
        <v/>
      </c>
      <c r="M35" s="42"/>
    </row>
    <row r="36" spans="2:13" ht="13.8" customHeight="1" x14ac:dyDescent="0.3">
      <c r="B36" s="40"/>
      <c r="C36" s="112"/>
      <c r="D36" s="68" t="s">
        <v>18</v>
      </c>
      <c r="E36" s="79" t="s">
        <v>165</v>
      </c>
      <c r="F36" s="69"/>
      <c r="G36" s="70" t="str">
        <f>IF($F$8=" ","",IFERROR(IF($L$9="","",IFERROR(VLOOKUP(IFERROR(VLOOKUP(D36,Notas!B:B,1,FALSE),VLOOKUP(D36,Equivalencia!A:F,5,FALSE)),Notas!B:B,1,FALSE),VLOOKUP(D36,Equivalencia!A:H,8,FALSE))),""))</f>
        <v/>
      </c>
      <c r="H36" s="86" t="str">
        <f>IFERROR(IF($L$9="","",IFERROR(IFERROR(VLOOKUP(G36,Equivalencia!A:B,2,FALSE),VLOOKUP(G36,Equivalencia!E:F,2,FALSE)),VLOOKUP(G36,Equivalencia!H:I,2,FALSE))),"")</f>
        <v/>
      </c>
      <c r="I36" s="87"/>
      <c r="J36" s="71">
        <v>4</v>
      </c>
      <c r="K36" s="72" t="str">
        <f>IF($F$8=" ","",VLOOKUP(G36,Notas!B:K,8,FALSE)/1000)</f>
        <v/>
      </c>
      <c r="L36" s="73" t="str">
        <f>IFERROR(IF(VLOOKUP(G36,Notas!B:K,9,FALSE)=".000","",VLOOKUP(G36,Notas!B:K,9,FALSE)/1000),"")</f>
        <v/>
      </c>
      <c r="M36" s="42"/>
    </row>
    <row r="37" spans="2:13" ht="13.8" customHeight="1" x14ac:dyDescent="0.3">
      <c r="B37" s="40"/>
      <c r="C37" s="112"/>
      <c r="D37" s="68" t="s">
        <v>19</v>
      </c>
      <c r="E37" s="79" t="s">
        <v>34</v>
      </c>
      <c r="F37" s="69"/>
      <c r="G37" s="70" t="str">
        <f>IF($F$8=" ","",IFERROR(IF($L$9="","",IFERROR(VLOOKUP(IFERROR(VLOOKUP(D37,Notas!B:B,1,FALSE),VLOOKUP(D37,Equivalencia!A:F,5,FALSE)),Notas!B:B,1,FALSE),VLOOKUP(D37,Equivalencia!A:H,8,FALSE))),""))</f>
        <v/>
      </c>
      <c r="H37" s="86" t="str">
        <f>IFERROR(IF($L$9="","",IFERROR(IFERROR(VLOOKUP(G37,Equivalencia!A:B,2,FALSE),VLOOKUP(G37,Equivalencia!E:F,2,FALSE)),VLOOKUP(G37,Equivalencia!H:I,2,FALSE))),"")</f>
        <v/>
      </c>
      <c r="I37" s="87"/>
      <c r="J37" s="71">
        <v>4</v>
      </c>
      <c r="K37" s="72" t="str">
        <f>IF($F$8=" ","",VLOOKUP(G37,Notas!B:K,8,FALSE)/1000)</f>
        <v/>
      </c>
      <c r="L37" s="73" t="str">
        <f>IFERROR(IF(VLOOKUP(G37,Notas!B:K,9,FALSE)=".000","",VLOOKUP(G37,Notas!B:K,9,FALSE)/1000),"")</f>
        <v/>
      </c>
      <c r="M37" s="42"/>
    </row>
    <row r="38" spans="2:13" ht="13.8" customHeight="1" x14ac:dyDescent="0.3">
      <c r="B38" s="40"/>
      <c r="C38" s="112"/>
      <c r="D38" s="68" t="s">
        <v>20</v>
      </c>
      <c r="E38" s="79" t="s">
        <v>159</v>
      </c>
      <c r="F38" s="69"/>
      <c r="G38" s="70" t="str">
        <f>IF($F$8=" ","",IFERROR(IF($L$9="","",IFERROR(VLOOKUP(IFERROR(VLOOKUP(D38,Notas!B:B,1,FALSE),VLOOKUP(D38,Equivalencia!A:F,5,FALSE)),Notas!B:B,1,FALSE),VLOOKUP(D38,Equivalencia!A:H,8,FALSE))),""))</f>
        <v/>
      </c>
      <c r="H38" s="86" t="str">
        <f>IFERROR(IF($L$9="","",IFERROR(IFERROR(VLOOKUP(G38,Equivalencia!A:B,2,FALSE),VLOOKUP(G38,Equivalencia!E:F,2,FALSE)),VLOOKUP(G38,Equivalencia!H:I,2,FALSE))),"")</f>
        <v/>
      </c>
      <c r="I38" s="87"/>
      <c r="J38" s="71">
        <v>4</v>
      </c>
      <c r="K38" s="72" t="str">
        <f>IF($F$8=" ","",VLOOKUP(G38,Notas!B:K,8,FALSE)/1000)</f>
        <v/>
      </c>
      <c r="L38" s="73" t="str">
        <f>IFERROR(IF(VLOOKUP(G38,Notas!B:K,9,FALSE)=".000","",VLOOKUP(G38,Notas!B:K,9,FALSE)/1000),"")</f>
        <v/>
      </c>
      <c r="M38" s="42"/>
    </row>
    <row r="39" spans="2:13" ht="13.8" customHeight="1" x14ac:dyDescent="0.3">
      <c r="B39" s="40"/>
      <c r="C39" s="113"/>
      <c r="D39" s="91" t="s">
        <v>53</v>
      </c>
      <c r="E39" s="92" t="s">
        <v>54</v>
      </c>
      <c r="F39" s="93"/>
      <c r="G39" s="74" t="str">
        <f>IF($F$8=" ","",IFERROR(IF($L$9="","",IFERROR(VLOOKUP(IFERROR(VLOOKUP(D39,Notas!B:B,1,FALSE),VLOOKUP(D39,Equivalencia!A:F,5,FALSE)),Notas!B:B,1,FALSE),VLOOKUP(D39,Equivalencia!A:H,8,FALSE))),""))</f>
        <v/>
      </c>
      <c r="H39" s="96" t="str">
        <f>IFERROR(IF($L$9="","",IFERROR(IFERROR(VLOOKUP(G39,Equivalencia!A:B,2,FALSE),VLOOKUP(G39,Equivalencia!E:F,2,FALSE)),VLOOKUP(G39,Equivalencia!H:I,2,FALSE))),"")</f>
        <v/>
      </c>
      <c r="I39" s="97"/>
      <c r="J39" s="75">
        <v>2</v>
      </c>
      <c r="K39" s="76" t="str">
        <f>IF($F$8=" ","",VLOOKUP(G39,Notas!B:K,8,FALSE)/1000)</f>
        <v/>
      </c>
      <c r="L39" s="77" t="str">
        <f>IFERROR(IF(VLOOKUP(G39,Notas!B:K,9,FALSE)=".000","",VLOOKUP(G39,Notas!B:K,9,FALSE)/1000),"")</f>
        <v/>
      </c>
      <c r="M39" s="42"/>
    </row>
    <row r="40" spans="2:13" ht="13.8" customHeight="1" x14ac:dyDescent="0.3">
      <c r="B40" s="40"/>
      <c r="C40" s="111" t="s">
        <v>81</v>
      </c>
      <c r="D40" s="62" t="s">
        <v>35</v>
      </c>
      <c r="E40" s="78" t="s">
        <v>36</v>
      </c>
      <c r="F40" s="63"/>
      <c r="G40" s="64" t="str">
        <f>IF($F$8=" ","",IFERROR(IF($L$9="","",IFERROR(VLOOKUP(IFERROR(VLOOKUP(D40,Notas!B:B,1,FALSE),VLOOKUP(D40,Equivalencia!A:F,5,FALSE)),Notas!B:B,1,FALSE),VLOOKUP(D40,Equivalencia!A:H,8,FALSE))),""))</f>
        <v/>
      </c>
      <c r="H40" s="94" t="str">
        <f>IFERROR(IF($L$9="","",IFERROR(IFERROR(VLOOKUP(G40,Equivalencia!A:B,2,FALSE),VLOOKUP(G40,Equivalencia!E:F,2,FALSE)),VLOOKUP(G40,Equivalencia!H:I,2,FALSE))),"")</f>
        <v/>
      </c>
      <c r="I40" s="95"/>
      <c r="J40" s="65">
        <v>3</v>
      </c>
      <c r="K40" s="66" t="str">
        <f>IF($F$8=" ","",VLOOKUP(G40,Notas!B:K,8,FALSE)/1000)</f>
        <v/>
      </c>
      <c r="L40" s="67" t="str">
        <f>IFERROR(IF(VLOOKUP(G40,Notas!B:K,9,FALSE)=".000","",VLOOKUP(G40,Notas!B:K,9,FALSE)/1000),"")</f>
        <v/>
      </c>
      <c r="M40" s="42"/>
    </row>
    <row r="41" spans="2:13" ht="13.8" customHeight="1" x14ac:dyDescent="0.3">
      <c r="B41" s="40"/>
      <c r="C41" s="112"/>
      <c r="D41" s="68" t="s">
        <v>179</v>
      </c>
      <c r="E41" s="79" t="s">
        <v>87</v>
      </c>
      <c r="F41" s="69"/>
      <c r="G41" s="70" t="str">
        <f>IF($F$8=" ","",IFERROR(IF($L$9="","",IFERROR(VLOOKUP(IFERROR(VLOOKUP(D41,Notas!B:B,1,FALSE),VLOOKUP(D41,Equivalencia!A:F,5,FALSE)),Notas!B:B,1,FALSE),VLOOKUP(D41,Equivalencia!A:H,8,FALSE))),""))</f>
        <v/>
      </c>
      <c r="H41" s="86" t="str">
        <f>IFERROR(IF($L$9="","",IFERROR(IFERROR(VLOOKUP(G41,Equivalencia!A:B,2,FALSE),VLOOKUP(G41,Equivalencia!E:F,2,FALSE)),VLOOKUP(G41,Equivalencia!H:I,2,FALSE))),"")</f>
        <v/>
      </c>
      <c r="I41" s="87"/>
      <c r="J41" s="71">
        <v>3</v>
      </c>
      <c r="K41" s="72" t="str">
        <f>IF($F$8=" ","",VLOOKUP(G41,Notas!B:K,8,FALSE)/1000)</f>
        <v/>
      </c>
      <c r="L41" s="73" t="str">
        <f>IFERROR(IF(VLOOKUP(G41,Notas!B:K,9,FALSE)=".000","",VLOOKUP(G41,Notas!B:K,9,FALSE)/1000),"")</f>
        <v/>
      </c>
      <c r="M41" s="42"/>
    </row>
    <row r="42" spans="2:13" ht="13.8" customHeight="1" x14ac:dyDescent="0.3">
      <c r="B42" s="40"/>
      <c r="C42" s="112"/>
      <c r="D42" s="68" t="s">
        <v>88</v>
      </c>
      <c r="E42" s="79" t="s">
        <v>162</v>
      </c>
      <c r="F42" s="69"/>
      <c r="G42" s="70" t="str">
        <f>IF($F$8=" ","",IFERROR(IF($L$9="","",IFERROR(VLOOKUP(IFERROR(VLOOKUP(D42,Notas!B:B,1,FALSE),VLOOKUP(D42,Equivalencia!A:F,5,FALSE)),Notas!B:B,1,FALSE),VLOOKUP(D42,Equivalencia!A:H,8,FALSE))),""))</f>
        <v/>
      </c>
      <c r="H42" s="86" t="str">
        <f>IFERROR(IF($L$9="","",IFERROR(IFERROR(VLOOKUP(G42,Equivalencia!A:B,2,FALSE),VLOOKUP(G42,Equivalencia!E:F,2,FALSE)),VLOOKUP(G42,Equivalencia!H:I,2,FALSE))),"")</f>
        <v/>
      </c>
      <c r="I42" s="87"/>
      <c r="J42" s="71">
        <v>3</v>
      </c>
      <c r="K42" s="72" t="str">
        <f>IF($F$8=" ","",VLOOKUP(G42,Notas!B:K,8,FALSE)/1000)</f>
        <v/>
      </c>
      <c r="L42" s="73" t="str">
        <f>IFERROR(IF(VLOOKUP(G42,Notas!B:K,9,FALSE)=".000","",VLOOKUP(G42,Notas!B:K,9,FALSE)/1000),"")</f>
        <v/>
      </c>
      <c r="M42" s="42"/>
    </row>
    <row r="43" spans="2:13" ht="13.8" customHeight="1" x14ac:dyDescent="0.3">
      <c r="B43" s="40"/>
      <c r="C43" s="112"/>
      <c r="D43" s="68" t="s">
        <v>89</v>
      </c>
      <c r="E43" s="79" t="s">
        <v>157</v>
      </c>
      <c r="F43" s="69"/>
      <c r="G43" s="70" t="str">
        <f>IF($F$8=" ","",IFERROR(IF($L$9="","",IFERROR(VLOOKUP(IFERROR(VLOOKUP(D43,Notas!B:B,1,FALSE),VLOOKUP(D43,Equivalencia!A:F,5,FALSE)),Notas!B:B,1,FALSE),VLOOKUP(D43,Equivalencia!A:H,8,FALSE))),""))</f>
        <v/>
      </c>
      <c r="H43" s="86" t="str">
        <f>IFERROR(IF($L$9="","",IFERROR(IFERROR(VLOOKUP(G43,Equivalencia!A:B,2,FALSE),VLOOKUP(G43,Equivalencia!E:F,2,FALSE)),VLOOKUP(G43,Equivalencia!H:I,2,FALSE))),"")</f>
        <v/>
      </c>
      <c r="I43" s="87"/>
      <c r="J43" s="71">
        <v>3</v>
      </c>
      <c r="K43" s="72" t="str">
        <f>IF($F$8=" ","",VLOOKUP(G43,Notas!B:K,8,FALSE)/1000)</f>
        <v/>
      </c>
      <c r="L43" s="73" t="str">
        <f>IFERROR(IF(VLOOKUP(G43,Notas!B:K,9,FALSE)=".000","",VLOOKUP(G43,Notas!B:K,9,FALSE)/1000),"")</f>
        <v/>
      </c>
      <c r="M43" s="42"/>
    </row>
    <row r="44" spans="2:13" ht="13.8" customHeight="1" x14ac:dyDescent="0.3">
      <c r="B44" s="40"/>
      <c r="C44" s="112"/>
      <c r="D44" s="68" t="s">
        <v>90</v>
      </c>
      <c r="E44" s="79" t="s">
        <v>151</v>
      </c>
      <c r="F44" s="69"/>
      <c r="G44" s="70" t="str">
        <f>IF($F$8=" ","",IFERROR(IF($L$9="","",IFERROR(VLOOKUP(IFERROR(VLOOKUP(D44,Notas!B:B,1,FALSE),VLOOKUP(D44,Equivalencia!A:F,5,FALSE)),Notas!B:B,1,FALSE),VLOOKUP(D44,Equivalencia!A:H,8,FALSE))),""))</f>
        <v/>
      </c>
      <c r="H44" s="86" t="str">
        <f>IFERROR(IF($L$9="","",IFERROR(IFERROR(VLOOKUP(G44,Equivalencia!A:B,2,FALSE),VLOOKUP(G44,Equivalencia!E:F,2,FALSE)),VLOOKUP(G44,Equivalencia!H:I,2,FALSE))),"")</f>
        <v/>
      </c>
      <c r="I44" s="87"/>
      <c r="J44" s="71">
        <v>3</v>
      </c>
      <c r="K44" s="72" t="str">
        <f>IF($F$8=" ","",VLOOKUP(G44,Notas!B:K,8,FALSE)/1000)</f>
        <v/>
      </c>
      <c r="L44" s="73" t="str">
        <f>IFERROR(IF(VLOOKUP(G44,Notas!B:K,9,FALSE)=".000","",VLOOKUP(G44,Notas!B:K,9,FALSE)/1000),"")</f>
        <v/>
      </c>
      <c r="M44" s="42"/>
    </row>
    <row r="45" spans="2:13" ht="13.8" customHeight="1" x14ac:dyDescent="0.3">
      <c r="B45" s="40"/>
      <c r="C45" s="112"/>
      <c r="D45" s="68" t="s">
        <v>91</v>
      </c>
      <c r="E45" s="79" t="s">
        <v>149</v>
      </c>
      <c r="F45" s="69"/>
      <c r="G45" s="70" t="str">
        <f>IF($F$8=" ","",IFERROR(IF($L$9="","",IFERROR(VLOOKUP(IFERROR(VLOOKUP(D45,Notas!B:B,1,FALSE),VLOOKUP(D45,Equivalencia!A:F,5,FALSE)),Notas!B:B,1,FALSE),VLOOKUP(D45,Equivalencia!A:H,8,FALSE))),""))</f>
        <v/>
      </c>
      <c r="H45" s="86" t="str">
        <f>IFERROR(IF($L$9="","",IFERROR(IFERROR(VLOOKUP(G45,Equivalencia!A:B,2,FALSE),VLOOKUP(G45,Equivalencia!E:F,2,FALSE)),VLOOKUP(G45,Equivalencia!H:I,2,FALSE))),"")</f>
        <v/>
      </c>
      <c r="I45" s="87"/>
      <c r="J45" s="71">
        <v>2</v>
      </c>
      <c r="K45" s="72" t="str">
        <f>IF($F$8=" ","",VLOOKUP(G45,Notas!B:K,8,FALSE)/1000)</f>
        <v/>
      </c>
      <c r="L45" s="73" t="str">
        <f>IFERROR(IF(VLOOKUP(G45,Notas!B:K,9,FALSE)=".000","",VLOOKUP(G45,Notas!B:K,9,FALSE)/1000),"")</f>
        <v/>
      </c>
      <c r="M45" s="42"/>
    </row>
    <row r="46" spans="2:13" ht="13.8" customHeight="1" x14ac:dyDescent="0.3">
      <c r="B46" s="40"/>
      <c r="C46" s="112"/>
      <c r="D46" s="68" t="s">
        <v>92</v>
      </c>
      <c r="E46" s="79" t="s">
        <v>93</v>
      </c>
      <c r="F46" s="69"/>
      <c r="G46" s="70" t="str">
        <f>IF($F$8=" ","",IFERROR(IF($L$9="","",IFERROR(VLOOKUP(IFERROR(VLOOKUP(D46,Notas!B:B,1,FALSE),VLOOKUP(D46,Equivalencia!A:F,5,FALSE)),Notas!B:B,1,FALSE),VLOOKUP(D46,Equivalencia!A:H,8,FALSE))),""))</f>
        <v/>
      </c>
      <c r="H46" s="86" t="str">
        <f>IFERROR(IF($L$9="","",IFERROR(IFERROR(VLOOKUP(G46,Equivalencia!A:B,2,FALSE),VLOOKUP(G46,Equivalencia!E:F,2,FALSE)),VLOOKUP(G46,Equivalencia!H:I,2,FALSE))),"")</f>
        <v/>
      </c>
      <c r="I46" s="87"/>
      <c r="J46" s="71">
        <v>2</v>
      </c>
      <c r="K46" s="72" t="str">
        <f>IF($F$8=" ","",VLOOKUP(G46,Notas!B:K,8,FALSE)/1000)</f>
        <v/>
      </c>
      <c r="L46" s="73" t="str">
        <f>IFERROR(IF(VLOOKUP(G46,Notas!B:K,9,FALSE)=".000","",VLOOKUP(G46,Notas!B:K,9,FALSE)/1000),"")</f>
        <v/>
      </c>
      <c r="M46" s="42"/>
    </row>
    <row r="47" spans="2:13" ht="13.8" customHeight="1" x14ac:dyDescent="0.3">
      <c r="B47" s="40"/>
      <c r="C47" s="112"/>
      <c r="D47" s="68" t="s">
        <v>94</v>
      </c>
      <c r="E47" s="79" t="s">
        <v>150</v>
      </c>
      <c r="F47" s="69"/>
      <c r="G47" s="70" t="str">
        <f>IF($F$8=" ","",IFERROR(IF($L$9="","",IFERROR(VLOOKUP(IFERROR(VLOOKUP(D47,Notas!B:B,1,FALSE),VLOOKUP(D47,Equivalencia!A:F,5,FALSE)),Notas!B:B,1,FALSE),VLOOKUP(D47,Equivalencia!A:H,8,FALSE))),""))</f>
        <v/>
      </c>
      <c r="H47" s="86" t="str">
        <f>IFERROR(IF($L$9="","",IFERROR(IFERROR(VLOOKUP(G47,Equivalencia!A:B,2,FALSE),VLOOKUP(G47,Equivalencia!E:F,2,FALSE)),VLOOKUP(G47,Equivalencia!H:I,2,FALSE))),"")</f>
        <v/>
      </c>
      <c r="I47" s="87"/>
      <c r="J47" s="71">
        <v>3</v>
      </c>
      <c r="K47" s="72" t="str">
        <f>IF($F$8=" ","",VLOOKUP(G47,Notas!B:K,8,FALSE)/1000)</f>
        <v/>
      </c>
      <c r="L47" s="73" t="str">
        <f>IFERROR(IF(VLOOKUP(G47,Notas!B:K,9,FALSE)=".000","",VLOOKUP(G47,Notas!B:K,9,FALSE)/1000),"")</f>
        <v/>
      </c>
      <c r="M47" s="42"/>
    </row>
    <row r="48" spans="2:13" ht="13.8" customHeight="1" x14ac:dyDescent="0.3">
      <c r="B48" s="40"/>
      <c r="C48" s="112"/>
      <c r="D48" s="68" t="s">
        <v>95</v>
      </c>
      <c r="E48" s="79" t="s">
        <v>148</v>
      </c>
      <c r="F48" s="69"/>
      <c r="G48" s="70" t="str">
        <f>IF($F$8=" ","",IFERROR(IF($L$9="","",IFERROR(VLOOKUP(IFERROR(VLOOKUP(D48,Notas!B:B,1,FALSE),VLOOKUP(D48,Equivalencia!A:F,5,FALSE)),Notas!B:B,1,FALSE),VLOOKUP(D48,Equivalencia!A:H,8,FALSE))),""))</f>
        <v/>
      </c>
      <c r="H48" s="86" t="str">
        <f>IFERROR(IF($L$9="","",IFERROR(IFERROR(VLOOKUP(G48,Equivalencia!A:B,2,FALSE),VLOOKUP(G48,Equivalencia!E:F,2,FALSE)),VLOOKUP(G48,Equivalencia!H:I,2,FALSE))),"")</f>
        <v/>
      </c>
      <c r="I48" s="87"/>
      <c r="J48" s="71">
        <v>3</v>
      </c>
      <c r="K48" s="72" t="str">
        <f>IF($F$8=" ","",VLOOKUP(G48,Notas!B:K,8,FALSE)/1000)</f>
        <v/>
      </c>
      <c r="L48" s="73" t="str">
        <f>IFERROR(IF(VLOOKUP(G48,Notas!B:K,9,FALSE)=".000","",VLOOKUP(G48,Notas!B:K,9,FALSE)/1000),"")</f>
        <v/>
      </c>
      <c r="M48" s="42"/>
    </row>
    <row r="49" spans="2:13" ht="13.8" customHeight="1" x14ac:dyDescent="0.3">
      <c r="B49" s="40"/>
      <c r="C49" s="112"/>
      <c r="D49" s="68" t="s">
        <v>96</v>
      </c>
      <c r="E49" s="79" t="s">
        <v>153</v>
      </c>
      <c r="F49" s="69"/>
      <c r="G49" s="70" t="str">
        <f>IF($F$8=" ","",IFERROR(IF($L$9="","",IFERROR(VLOOKUP(IFERROR(VLOOKUP(D49,Notas!B:B,1,FALSE),VLOOKUP(D49,Equivalencia!A:F,5,FALSE)),Notas!B:B,1,FALSE),VLOOKUP(D49,Equivalencia!A:H,8,FALSE))),""))</f>
        <v/>
      </c>
      <c r="H49" s="86" t="str">
        <f>IFERROR(IF($L$9="","",IFERROR(IFERROR(VLOOKUP(G49,Equivalencia!A:B,2,FALSE),VLOOKUP(G49,Equivalencia!E:F,2,FALSE)),VLOOKUP(G49,Equivalencia!H:I,2,FALSE))),"")</f>
        <v/>
      </c>
      <c r="I49" s="87"/>
      <c r="J49" s="71">
        <v>3</v>
      </c>
      <c r="K49" s="72" t="str">
        <f>IF($F$8=" ","",VLOOKUP(G49,Notas!B:K,8,FALSE)/1000)</f>
        <v/>
      </c>
      <c r="L49" s="73" t="str">
        <f>IFERROR(IF(VLOOKUP(G49,Notas!B:K,9,FALSE)=".000","",VLOOKUP(G49,Notas!B:K,9,FALSE)/1000),"")</f>
        <v/>
      </c>
      <c r="M49" s="42"/>
    </row>
    <row r="50" spans="2:13" ht="13.8" customHeight="1" x14ac:dyDescent="0.3">
      <c r="B50" s="40"/>
      <c r="C50" s="112"/>
      <c r="D50" s="68" t="s">
        <v>178</v>
      </c>
      <c r="E50" s="79" t="s">
        <v>175</v>
      </c>
      <c r="F50" s="69"/>
      <c r="G50" s="70" t="str">
        <f>IF($F$8=" ","",IFERROR(IF($L$9="","",IFERROR(VLOOKUP(IFERROR(VLOOKUP(D50,Notas!B:B,1,FALSE),VLOOKUP(D50,Equivalencia!A:F,5,FALSE)),Notas!B:B,1,FALSE),VLOOKUP(D50,Equivalencia!A:H,8,FALSE))),""))</f>
        <v/>
      </c>
      <c r="H50" s="86" t="str">
        <f>IFERROR(IF($L$9="","",IFERROR(IFERROR(VLOOKUP(G50,Equivalencia!A:B,2,FALSE),VLOOKUP(G50,Equivalencia!E:F,2,FALSE)),VLOOKUP(G50,Equivalencia!H:I,2,FALSE))),"")</f>
        <v/>
      </c>
      <c r="I50" s="87"/>
      <c r="J50" s="71">
        <v>3</v>
      </c>
      <c r="K50" s="72" t="str">
        <f>IF($F$8=" ","",VLOOKUP(G50,Notas!B:K,8,FALSE)/1000)</f>
        <v/>
      </c>
      <c r="L50" s="73" t="str">
        <f>IFERROR(IF(VLOOKUP(G50,Notas!B:K,9,FALSE)=".000","",VLOOKUP(G50,Notas!B:K,9,FALSE)/1000),"")</f>
        <v/>
      </c>
      <c r="M50" s="42"/>
    </row>
    <row r="51" spans="2:13" ht="13.8" customHeight="1" x14ac:dyDescent="0.3">
      <c r="B51" s="40"/>
      <c r="C51" s="112"/>
      <c r="D51" s="68" t="s">
        <v>129</v>
      </c>
      <c r="E51" s="79" t="s">
        <v>97</v>
      </c>
      <c r="F51" s="69"/>
      <c r="G51" s="70" t="str">
        <f>IF($F$8=" ","",IFERROR(IF($L$9="","",IFERROR(VLOOKUP(IFERROR(VLOOKUP(D51,Notas!B:B,1,FALSE),VLOOKUP(D51,Equivalencia!A:F,5,FALSE)),Notas!B:B,1,FALSE),VLOOKUP(D51,Equivalencia!A:H,8,FALSE))),""))</f>
        <v/>
      </c>
      <c r="H51" s="86" t="str">
        <f>IFERROR(IF($L$9="","",IFERROR(IFERROR(VLOOKUP(G51,Equivalencia!A:B,2,FALSE),VLOOKUP(G51,Equivalencia!E:F,2,FALSE)),VLOOKUP(G51,Equivalencia!H:I,2,FALSE))),"")</f>
        <v/>
      </c>
      <c r="I51" s="87"/>
      <c r="J51" s="71">
        <v>2</v>
      </c>
      <c r="K51" s="72" t="str">
        <f>IF($F$8=" ","",VLOOKUP(G51,Notas!B:K,8,FALSE)/1000)</f>
        <v/>
      </c>
      <c r="L51" s="73" t="str">
        <f>IFERROR(IF(VLOOKUP(G51,Notas!B:K,9,FALSE)=".000","",VLOOKUP(G51,Notas!B:K,9,FALSE)/1000),"")</f>
        <v/>
      </c>
      <c r="M51" s="42"/>
    </row>
    <row r="52" spans="2:13" ht="13.8" customHeight="1" x14ac:dyDescent="0.3">
      <c r="B52" s="40"/>
      <c r="C52" s="112"/>
      <c r="D52" s="68" t="s">
        <v>98</v>
      </c>
      <c r="E52" s="79" t="s">
        <v>138</v>
      </c>
      <c r="F52" s="69"/>
      <c r="G52" s="70" t="str">
        <f>IF($F$8=" ","",IFERROR(IF($L$9="","",IFERROR(VLOOKUP(IFERROR(VLOOKUP(D52,Notas!B:B,1,FALSE),VLOOKUP(D52,Equivalencia!A:F,5,FALSE)),Notas!B:B,1,FALSE),VLOOKUP(D52,Equivalencia!A:H,8,FALSE))),""))</f>
        <v/>
      </c>
      <c r="H52" s="86" t="str">
        <f>IFERROR(IF($L$9="","",IFERROR(IFERROR(VLOOKUP(G52,Equivalencia!A:B,2,FALSE),VLOOKUP(G52,Equivalencia!E:F,2,FALSE)),VLOOKUP(G52,Equivalencia!H:I,2,FALSE))),"")</f>
        <v/>
      </c>
      <c r="I52" s="87"/>
      <c r="J52" s="71">
        <v>3</v>
      </c>
      <c r="K52" s="72" t="str">
        <f>IF($F$8=" ","",VLOOKUP(G52,Notas!B:K,8,FALSE)/1000)</f>
        <v/>
      </c>
      <c r="L52" s="73" t="str">
        <f>IFERROR(IF(VLOOKUP(G52,Notas!B:K,9,FALSE)=".000","",VLOOKUP(G52,Notas!B:K,9,FALSE)/1000),"")</f>
        <v/>
      </c>
      <c r="M52" s="42"/>
    </row>
    <row r="53" spans="2:13" ht="13.8" customHeight="1" x14ac:dyDescent="0.3">
      <c r="B53" s="40"/>
      <c r="C53" s="112"/>
      <c r="D53" s="68" t="s">
        <v>99</v>
      </c>
      <c r="E53" s="79" t="s">
        <v>152</v>
      </c>
      <c r="F53" s="69"/>
      <c r="G53" s="70" t="str">
        <f>IF($F$8=" ","",IFERROR(IF($L$9="","",IFERROR(VLOOKUP(IFERROR(VLOOKUP(D53,Notas!B:B,1,FALSE),VLOOKUP(D53,Equivalencia!A:F,5,FALSE)),Notas!B:B,1,FALSE),VLOOKUP(D53,Equivalencia!A:H,8,FALSE))),""))</f>
        <v/>
      </c>
      <c r="H53" s="86" t="str">
        <f>IFERROR(IF($L$9="","",IFERROR(IFERROR(VLOOKUP(G53,Equivalencia!A:B,2,FALSE),VLOOKUP(G53,Equivalencia!E:F,2,FALSE)),VLOOKUP(G53,Equivalencia!H:I,2,FALSE))),"")</f>
        <v/>
      </c>
      <c r="I53" s="87"/>
      <c r="J53" s="71">
        <v>2</v>
      </c>
      <c r="K53" s="72" t="str">
        <f>IF($F$8=" ","",VLOOKUP(G53,Notas!B:K,8,FALSE)/1000)</f>
        <v/>
      </c>
      <c r="L53" s="73" t="str">
        <f>IFERROR(IF(VLOOKUP(G53,Notas!B:K,9,FALSE)=".000","",VLOOKUP(G53,Notas!B:K,9,FALSE)/1000),"")</f>
        <v/>
      </c>
      <c r="M53" s="42"/>
    </row>
    <row r="54" spans="2:13" ht="13.8" customHeight="1" x14ac:dyDescent="0.3">
      <c r="B54" s="40"/>
      <c r="C54" s="113"/>
      <c r="D54" s="91" t="s">
        <v>100</v>
      </c>
      <c r="E54" s="92" t="s">
        <v>139</v>
      </c>
      <c r="F54" s="93"/>
      <c r="G54" s="74" t="str">
        <f>IF($F$8=" ","",IFERROR(IF($L$9="","",IFERROR(VLOOKUP(IFERROR(VLOOKUP(D54,Notas!B:B,1,FALSE),VLOOKUP(D54,Equivalencia!A:F,5,FALSE)),Notas!B:B,1,FALSE),VLOOKUP(D54,Equivalencia!A:H,8,FALSE))),""))</f>
        <v/>
      </c>
      <c r="H54" s="96" t="str">
        <f>IFERROR(IF($L$9="","",IFERROR(IFERROR(VLOOKUP(G54,Equivalencia!A:B,2,FALSE),VLOOKUP(G54,Equivalencia!E:F,2,FALSE)),VLOOKUP(G54,Equivalencia!H:I,2,FALSE))),"")</f>
        <v/>
      </c>
      <c r="I54" s="97"/>
      <c r="J54" s="75">
        <v>2</v>
      </c>
      <c r="K54" s="76" t="str">
        <f>IF($F$8=" ","",VLOOKUP(G54,Notas!B:K,8,FALSE)/1000)</f>
        <v/>
      </c>
      <c r="L54" s="77" t="str">
        <f>IFERROR(IF(VLOOKUP(G54,Notas!B:K,9,FALSE)=".000","",VLOOKUP(G54,Notas!B:K,9,FALSE)/1000),"")</f>
        <v/>
      </c>
      <c r="M54" s="42"/>
    </row>
    <row r="55" spans="2:13" ht="13.8" customHeight="1" x14ac:dyDescent="0.3">
      <c r="B55" s="40"/>
      <c r="C55" s="111" t="s">
        <v>82</v>
      </c>
      <c r="D55" s="62" t="s">
        <v>55</v>
      </c>
      <c r="E55" s="78" t="s">
        <v>168</v>
      </c>
      <c r="F55" s="63"/>
      <c r="G55" s="64" t="str">
        <f>IF($F$8=" ","",IFERROR(IF($L$9="","",IFERROR(VLOOKUP(IFERROR(VLOOKUP(D55,Notas!B:B,1,FALSE),VLOOKUP(D55,Equivalencia!A:F,5,FALSE)),Notas!B:B,1,FALSE),VLOOKUP(D55,Equivalencia!A:H,8,FALSE))),""))</f>
        <v/>
      </c>
      <c r="H55" s="94" t="str">
        <f>IFERROR(IF($L$9="","",IFERROR(IFERROR(VLOOKUP(G55,Equivalencia!A:B,2,FALSE),VLOOKUP(G55,Equivalencia!E:F,2,FALSE)),VLOOKUP(G55,Equivalencia!H:I,2,FALSE))),"")</f>
        <v/>
      </c>
      <c r="I55" s="95"/>
      <c r="J55" s="65">
        <v>2</v>
      </c>
      <c r="K55" s="66" t="str">
        <f>IF($F$8=" ","",VLOOKUP(G55,Notas!B:K,8,FALSE)/1000)</f>
        <v/>
      </c>
      <c r="L55" s="67" t="str">
        <f>IFERROR(IF(VLOOKUP(G55,Notas!B:K,9,FALSE)=".000","",VLOOKUP(G55,Notas!B:K,9,FALSE)/1000),"")</f>
        <v/>
      </c>
      <c r="M55" s="42"/>
    </row>
    <row r="56" spans="2:13" ht="13.8" customHeight="1" x14ac:dyDescent="0.3">
      <c r="B56" s="40"/>
      <c r="C56" s="112"/>
      <c r="D56" s="68" t="s">
        <v>22</v>
      </c>
      <c r="E56" s="79" t="s">
        <v>177</v>
      </c>
      <c r="F56" s="69"/>
      <c r="G56" s="70" t="str">
        <f>IF($F$8=" ","",IFERROR(IF($L$9="","",IFERROR(VLOOKUP(IFERROR(VLOOKUP(D56,Notas!B:B,1,FALSE),VLOOKUP(D56,Equivalencia!A:F,5,FALSE)),Notas!B:B,1,FALSE),VLOOKUP(D56,Equivalencia!A:H,8,FALSE))),""))</f>
        <v/>
      </c>
      <c r="H56" s="86" t="str">
        <f>IFERROR(IF($L$9="","",IFERROR(IFERROR(VLOOKUP(G56,Equivalencia!A:B,2,FALSE),VLOOKUP(G56,Equivalencia!E:F,2,FALSE)),VLOOKUP(G56,Equivalencia!H:I,2,FALSE))),"")</f>
        <v/>
      </c>
      <c r="I56" s="87"/>
      <c r="J56" s="71">
        <v>1</v>
      </c>
      <c r="K56" s="72" t="str">
        <f>IF($F$8=" ","",VLOOKUP(G56,Notas!B:K,8,FALSE)/1000)</f>
        <v/>
      </c>
      <c r="L56" s="73" t="str">
        <f>IFERROR(IF(VLOOKUP(G56,Notas!B:K,9,FALSE)=".000","",VLOOKUP(G56,Notas!B:K,9,FALSE)/1000),"")</f>
        <v/>
      </c>
      <c r="M56" s="42"/>
    </row>
    <row r="57" spans="2:13" ht="13.8" customHeight="1" x14ac:dyDescent="0.3">
      <c r="B57" s="40"/>
      <c r="C57" s="112"/>
      <c r="D57" s="68" t="s">
        <v>23</v>
      </c>
      <c r="E57" s="79" t="s">
        <v>24</v>
      </c>
      <c r="F57" s="69"/>
      <c r="G57" s="70" t="str">
        <f>IF($F$8=" ","",IFERROR(IF($L$9="","",IFERROR(VLOOKUP(IFERROR(VLOOKUP(D57,Notas!B:B,1,FALSE),VLOOKUP(D57,Equivalencia!A:F,5,FALSE)),Notas!B:B,1,FALSE),VLOOKUP(D57,Equivalencia!A:H,8,FALSE))),""))</f>
        <v/>
      </c>
      <c r="H57" s="86" t="str">
        <f>IFERROR(IF($L$9="","",IFERROR(IFERROR(VLOOKUP(G57,Equivalencia!A:B,2,FALSE),VLOOKUP(G57,Equivalencia!E:F,2,FALSE)),VLOOKUP(G57,Equivalencia!H:I,2,FALSE))),"")</f>
        <v/>
      </c>
      <c r="I57" s="87"/>
      <c r="J57" s="71">
        <v>1</v>
      </c>
      <c r="K57" s="72" t="str">
        <f>IF($F$8=" ","",VLOOKUP(G57,Notas!B:K,8,FALSE)/1000)</f>
        <v/>
      </c>
      <c r="L57" s="73" t="str">
        <f>IFERROR(IF(VLOOKUP(G57,Notas!B:K,9,FALSE)=".000","",VLOOKUP(G57,Notas!B:K,9,FALSE)/1000),"")</f>
        <v/>
      </c>
      <c r="M57" s="42"/>
    </row>
    <row r="58" spans="2:13" ht="13.8" customHeight="1" x14ac:dyDescent="0.3">
      <c r="B58" s="40"/>
      <c r="C58" s="113"/>
      <c r="D58" s="91" t="s">
        <v>25</v>
      </c>
      <c r="E58" s="92" t="s">
        <v>26</v>
      </c>
      <c r="F58" s="93"/>
      <c r="G58" s="74" t="str">
        <f>IF($F$8=" ","",IFERROR(IF($L$9="","",IFERROR(VLOOKUP(IFERROR(VLOOKUP(D58,Notas!B:B,1,FALSE),VLOOKUP(D58,Equivalencia!A:F,5,FALSE)),Notas!B:B,1,FALSE),VLOOKUP(D58,Equivalencia!A:H,8,FALSE))),""))</f>
        <v/>
      </c>
      <c r="H58" s="96" t="str">
        <f>IFERROR(IF($L$9="","",IFERROR(IFERROR(VLOOKUP(G58,Equivalencia!A:B,2,FALSE),VLOOKUP(G58,Equivalencia!E:F,2,FALSE)),VLOOKUP(G58,Equivalencia!H:I,2,FALSE))),"")</f>
        <v/>
      </c>
      <c r="I58" s="97"/>
      <c r="J58" s="75">
        <v>1</v>
      </c>
      <c r="K58" s="76" t="str">
        <f>IF($F$8=" ","",VLOOKUP(G58,Notas!B:K,8,FALSE)/1000)</f>
        <v/>
      </c>
      <c r="L58" s="77" t="str">
        <f>IFERROR(IF(VLOOKUP(G58,Notas!B:K,9,FALSE)=".000","",VLOOKUP(G58,Notas!B:K,9,FALSE)/1000),"")</f>
        <v/>
      </c>
      <c r="M58" s="42"/>
    </row>
    <row r="59" spans="2:13" ht="13.8" customHeight="1" x14ac:dyDescent="0.3">
      <c r="B59" s="40"/>
      <c r="C59" s="114" t="s">
        <v>83</v>
      </c>
      <c r="D59" s="62" t="s">
        <v>126</v>
      </c>
      <c r="E59" s="78" t="s">
        <v>102</v>
      </c>
      <c r="F59" s="63"/>
      <c r="G59" s="64" t="str">
        <f>IF($F$8=" ","",IFERROR(IF($L$9="","",IFERROR(VLOOKUP(IFERROR(VLOOKUP(D59,Notas!B:B,1,FALSE),VLOOKUP(D59,Equivalencia!A:F,5,FALSE)),Notas!B:B,1,FALSE),VLOOKUP(D59,Equivalencia!A:H,8,FALSE))),""))</f>
        <v/>
      </c>
      <c r="H59" s="94" t="str">
        <f>IFERROR(IF($L$9="","",IFERROR(IFERROR(VLOOKUP(G59,Equivalencia!A:B,2,FALSE),VLOOKUP(G59,Equivalencia!E:F,2,FALSE)),VLOOKUP(G59,Equivalencia!H:I,2,FALSE))),"")</f>
        <v/>
      </c>
      <c r="I59" s="95"/>
      <c r="J59" s="65">
        <v>10</v>
      </c>
      <c r="K59" s="66" t="str">
        <f>IF($F$8=" ","",VLOOKUP(G59,Notas!B:K,8,FALSE)/1000)</f>
        <v/>
      </c>
      <c r="L59" s="67" t="str">
        <f>IFERROR(IF(VLOOKUP(G59,Notas!B:K,9,FALSE)=".000","",VLOOKUP(G59,Notas!B:K,9,FALSE)/1000),"")</f>
        <v/>
      </c>
      <c r="M59" s="42"/>
    </row>
    <row r="60" spans="2:13" ht="13.8" customHeight="1" x14ac:dyDescent="0.3">
      <c r="B60" s="40"/>
      <c r="C60" s="115"/>
      <c r="D60" s="68" t="s">
        <v>127</v>
      </c>
      <c r="E60" s="79" t="s">
        <v>137</v>
      </c>
      <c r="F60" s="69"/>
      <c r="G60" s="70" t="str">
        <f>IF($F$8=" ","",IFERROR(IF($L$9="","",IFERROR(VLOOKUP(IFERROR(VLOOKUP(D60,Notas!B:B,1,FALSE),VLOOKUP(D60,Equivalencia!A:F,5,FALSE)),Notas!B:B,1,FALSE),VLOOKUP(D60,Equivalencia!A:H,8,FALSE))),""))</f>
        <v/>
      </c>
      <c r="H60" s="86" t="str">
        <f>IFERROR(IF($L$9="","",IFERROR(IFERROR(VLOOKUP(G60,Equivalencia!A:B,2,FALSE),VLOOKUP(G60,Equivalencia!E:F,2,FALSE)),VLOOKUP(G60,Equivalencia!H:I,2,FALSE))),"")</f>
        <v/>
      </c>
      <c r="I60" s="87"/>
      <c r="J60" s="71">
        <v>10</v>
      </c>
      <c r="K60" s="72" t="str">
        <f>IF($F$8=" ","",VLOOKUP(G60,Notas!B:K,8,FALSE)/1000)</f>
        <v/>
      </c>
      <c r="L60" s="73" t="str">
        <f>IFERROR(IF(VLOOKUP(G60,Notas!B:K,9,FALSE)=".000","",VLOOKUP(G60,Notas!B:K,9,FALSE)/1000),"")</f>
        <v/>
      </c>
      <c r="M60" s="42"/>
    </row>
    <row r="61" spans="2:13" ht="13.8" customHeight="1" x14ac:dyDescent="0.3">
      <c r="B61" s="40"/>
      <c r="C61" s="116"/>
      <c r="D61" s="91" t="s">
        <v>103</v>
      </c>
      <c r="E61" s="92" t="s">
        <v>136</v>
      </c>
      <c r="F61" s="93"/>
      <c r="G61" s="74" t="str">
        <f>IF($F$8=" ","",IFERROR(IF($L$9="","",IFERROR(VLOOKUP(IFERROR(VLOOKUP(D61,Notas!B:B,1,FALSE),VLOOKUP(D61,Equivalencia!A:F,5,FALSE)),Notas!B:B,1,FALSE),VLOOKUP(D61,Equivalencia!A:H,8,FALSE))),""))</f>
        <v/>
      </c>
      <c r="H61" s="96" t="str">
        <f>IFERROR(IF($L$9="","",IFERROR(IFERROR(VLOOKUP(G61,Equivalencia!A:B,2,FALSE),VLOOKUP(G61,Equivalencia!E:F,2,FALSE)),VLOOKUP(G61,Equivalencia!H:I,2,FALSE))),"")</f>
        <v/>
      </c>
      <c r="I61" s="97"/>
      <c r="J61" s="75">
        <v>5</v>
      </c>
      <c r="K61" s="76" t="str">
        <f>IF($F$8=" ","",VLOOKUP(G61,Notas!B:K,8,FALSE)/1000)</f>
        <v/>
      </c>
      <c r="L61" s="77" t="str">
        <f>IFERROR(IF(VLOOKUP(G61,Notas!B:K,9,FALSE)=".000","",VLOOKUP(G61,Notas!B:K,9,FALSE)/1000),"")</f>
        <v/>
      </c>
      <c r="M61" s="42"/>
    </row>
    <row r="62" spans="2:13" ht="13.8" customHeight="1" x14ac:dyDescent="0.3">
      <c r="B62" s="40"/>
      <c r="C62" s="112" t="s">
        <v>123</v>
      </c>
      <c r="D62" s="98" t="s">
        <v>111</v>
      </c>
      <c r="E62" s="99" t="s">
        <v>158</v>
      </c>
      <c r="F62" s="100"/>
      <c r="G62" s="90" t="str">
        <f>IF($F$8=" ","",IFERROR(IF($L$9="","",IFERROR(VLOOKUP(IFERROR(VLOOKUP(D62,Notas!B:B,1,FALSE),VLOOKUP(D62,Equivalencia!A:F,5,FALSE)),Notas!B:B,1,FALSE),VLOOKUP(D62,Equivalencia!A:H,8,FALSE))),""))</f>
        <v/>
      </c>
      <c r="H62" s="101" t="str">
        <f>IFERROR(IF($L$9="","",IFERROR(IFERROR(VLOOKUP(G62,Equivalencia!A:B,2,FALSE),VLOOKUP(G62,Equivalencia!E:F,2,FALSE)),VLOOKUP(G62,Equivalencia!H:I,2,FALSE))),"")</f>
        <v/>
      </c>
      <c r="I62" s="102"/>
      <c r="J62" s="117" t="str">
        <f>IF(G62="","",IF(G62=D62,"Aprobó","No Aprobó"))</f>
        <v/>
      </c>
      <c r="K62" s="118"/>
      <c r="L62" s="119"/>
      <c r="M62" s="42"/>
    </row>
    <row r="63" spans="2:13" ht="13.8" customHeight="1" x14ac:dyDescent="0.3">
      <c r="B63" s="40"/>
      <c r="C63" s="112"/>
      <c r="D63" s="68" t="s">
        <v>114</v>
      </c>
      <c r="E63" s="79" t="s">
        <v>115</v>
      </c>
      <c r="F63" s="69"/>
      <c r="G63" s="70" t="str">
        <f>IF($F$8=" ","",IFERROR(IF($L$9="","",IFERROR(VLOOKUP(IFERROR(VLOOKUP(D63,Notas!B:B,1,FALSE),VLOOKUP(D63,Equivalencia!A:F,5,FALSE)),Notas!B:B,1,FALSE),VLOOKUP(D63,Equivalencia!A:H,8,FALSE))),""))</f>
        <v/>
      </c>
      <c r="H63" s="86" t="str">
        <f>IFERROR(IF($L$9="","",IFERROR(IFERROR(VLOOKUP(G63,Equivalencia!A:B,2,FALSE),VLOOKUP(G63,Equivalencia!E:F,2,FALSE)),VLOOKUP(G63,Equivalencia!H:I,2,FALSE))),"")</f>
        <v/>
      </c>
      <c r="I63" s="87"/>
      <c r="J63" s="108" t="str">
        <f t="shared" ref="J63" si="0">IF(G63="","",IF(G63=D63,"Aprobó","No Aprobó"))</f>
        <v/>
      </c>
      <c r="K63" s="109"/>
      <c r="L63" s="110"/>
      <c r="M63" s="42"/>
    </row>
    <row r="64" spans="2:13" ht="13.8" customHeight="1" x14ac:dyDescent="0.3">
      <c r="B64" s="40"/>
      <c r="C64" s="112"/>
      <c r="D64" s="68" t="s">
        <v>112</v>
      </c>
      <c r="E64" s="79" t="s">
        <v>154</v>
      </c>
      <c r="F64" s="69"/>
      <c r="G64" s="70" t="str">
        <f>IF($F$8=" ","",IFERROR(IF($L$9="","",IFERROR(VLOOKUP(IFERROR(VLOOKUP(D64,Notas!B:B,1,FALSE),VLOOKUP(D64,Equivalencia!A:F,5,FALSE)),Notas!B:B,1,FALSE),VLOOKUP(D64,Equivalencia!A:H,8,FALSE))),""))</f>
        <v/>
      </c>
      <c r="H64" s="86" t="str">
        <f>IFERROR(IF($L$9="","",IFERROR(IFERROR(VLOOKUP(G64,Equivalencia!A:B,2,FALSE),VLOOKUP(G64,Equivalencia!E:F,2,FALSE)),VLOOKUP(G64,Equivalencia!H:I,2,FALSE))),"")</f>
        <v/>
      </c>
      <c r="I64" s="87"/>
      <c r="J64" s="108" t="str">
        <f t="shared" ref="J64:J76" si="1">IF(G64="","",IF(G64=D64,"Aprobó","No Aprobó"))</f>
        <v/>
      </c>
      <c r="K64" s="109"/>
      <c r="L64" s="110"/>
      <c r="M64" s="42"/>
    </row>
    <row r="65" spans="2:14" ht="13.8" customHeight="1" x14ac:dyDescent="0.3">
      <c r="B65" s="40"/>
      <c r="C65" s="112"/>
      <c r="D65" s="68" t="s">
        <v>118</v>
      </c>
      <c r="E65" s="79" t="s">
        <v>146</v>
      </c>
      <c r="F65" s="69"/>
      <c r="G65" s="70" t="str">
        <f>IF($F$8=" ","",IFERROR(IF($L$9="","",IFERROR(VLOOKUP(IFERROR(VLOOKUP(D65,Notas!B:B,1,FALSE),VLOOKUP(D65,Equivalencia!A:F,5,FALSE)),Notas!B:B,1,FALSE),VLOOKUP(D65,Equivalencia!A:H,8,FALSE))),""))</f>
        <v/>
      </c>
      <c r="H65" s="86" t="str">
        <f>IFERROR(IF($L$9="","",IFERROR(IFERROR(VLOOKUP(G65,Equivalencia!A:B,2,FALSE),VLOOKUP(G65,Equivalencia!E:F,2,FALSE)),VLOOKUP(G65,Equivalencia!H:I,2,FALSE))),"")</f>
        <v/>
      </c>
      <c r="I65" s="87"/>
      <c r="J65" s="108" t="str">
        <f t="shared" si="1"/>
        <v/>
      </c>
      <c r="K65" s="109"/>
      <c r="L65" s="110"/>
      <c r="M65" s="42"/>
    </row>
    <row r="66" spans="2:14" ht="13.8" customHeight="1" x14ac:dyDescent="0.3">
      <c r="B66" s="40"/>
      <c r="C66" s="112"/>
      <c r="D66" s="68" t="s">
        <v>119</v>
      </c>
      <c r="E66" s="79" t="s">
        <v>144</v>
      </c>
      <c r="F66" s="69"/>
      <c r="G66" s="70" t="str">
        <f>IF($F$8=" ","",IFERROR(IF($L$9="","",IFERROR(VLOOKUP(IFERROR(VLOOKUP(D66,Notas!B:B,1,FALSE),VLOOKUP(D66,Equivalencia!A:F,5,FALSE)),Notas!B:B,1,FALSE),VLOOKUP(D66,Equivalencia!A:H,8,FALSE))),""))</f>
        <v/>
      </c>
      <c r="H66" s="86" t="str">
        <f>IFERROR(IF($L$9="","",IFERROR(IFERROR(VLOOKUP(G66,Equivalencia!A:B,2,FALSE),VLOOKUP(G66,Equivalencia!E:F,2,FALSE)),VLOOKUP(G66,Equivalencia!H:I,2,FALSE))),"")</f>
        <v/>
      </c>
      <c r="I66" s="87"/>
      <c r="J66" s="108" t="str">
        <f t="shared" si="1"/>
        <v/>
      </c>
      <c r="K66" s="109"/>
      <c r="L66" s="110"/>
      <c r="M66" s="42"/>
    </row>
    <row r="67" spans="2:14" ht="13.8" customHeight="1" x14ac:dyDescent="0.3">
      <c r="B67" s="40"/>
      <c r="C67" s="112"/>
      <c r="D67" s="68" t="s">
        <v>108</v>
      </c>
      <c r="E67" s="79" t="s">
        <v>116</v>
      </c>
      <c r="F67" s="69"/>
      <c r="G67" s="70" t="str">
        <f>IF($F$8=" ","",IFERROR(IF($L$9="","",IFERROR(VLOOKUP(IFERROR(VLOOKUP(D67,Notas!B:B,1,FALSE),VLOOKUP(D67,Equivalencia!A:F,5,FALSE)),Notas!B:B,1,FALSE),VLOOKUP(D67,Equivalencia!A:H,8,FALSE))),""))</f>
        <v/>
      </c>
      <c r="H67" s="86" t="str">
        <f>IFERROR(IF($L$9="","",IFERROR(IFERROR(VLOOKUP(G67,Equivalencia!A:B,2,FALSE),VLOOKUP(G67,Equivalencia!E:F,2,FALSE)),VLOOKUP(G67,Equivalencia!H:I,2,FALSE))),"")</f>
        <v/>
      </c>
      <c r="I67" s="87"/>
      <c r="J67" s="108" t="str">
        <f t="shared" si="1"/>
        <v/>
      </c>
      <c r="K67" s="109"/>
      <c r="L67" s="110"/>
      <c r="M67" s="42"/>
    </row>
    <row r="68" spans="2:14" ht="13.8" customHeight="1" x14ac:dyDescent="0.3">
      <c r="B68" s="40"/>
      <c r="C68" s="112"/>
      <c r="D68" s="68" t="s">
        <v>109</v>
      </c>
      <c r="E68" s="79" t="s">
        <v>117</v>
      </c>
      <c r="F68" s="69"/>
      <c r="G68" s="70" t="str">
        <f>IF($F$8=" ","",IFERROR(IF($L$9="","",IFERROR(VLOOKUP(IFERROR(VLOOKUP(D68,Notas!B:B,1,FALSE),VLOOKUP(D68,Equivalencia!A:F,5,FALSE)),Notas!B:B,1,FALSE),VLOOKUP(D68,Equivalencia!A:H,8,FALSE))),""))</f>
        <v/>
      </c>
      <c r="H68" s="86" t="str">
        <f>IFERROR(IF($L$9="","",IFERROR(IFERROR(VLOOKUP(G68,Equivalencia!A:B,2,FALSE),VLOOKUP(G68,Equivalencia!E:F,2,FALSE)),VLOOKUP(G68,Equivalencia!H:I,2,FALSE))),"")</f>
        <v/>
      </c>
      <c r="I68" s="87"/>
      <c r="J68" s="108" t="str">
        <f t="shared" si="1"/>
        <v/>
      </c>
      <c r="K68" s="109"/>
      <c r="L68" s="110"/>
      <c r="M68" s="42"/>
    </row>
    <row r="69" spans="2:14" ht="13.8" customHeight="1" x14ac:dyDescent="0.3">
      <c r="B69" s="40"/>
      <c r="C69" s="112"/>
      <c r="D69" s="68" t="s">
        <v>104</v>
      </c>
      <c r="E69" s="79" t="s">
        <v>167</v>
      </c>
      <c r="F69" s="69"/>
      <c r="G69" s="70" t="str">
        <f>IF($F$8=" ","",IFERROR(IF($L$9="","",IFERROR(VLOOKUP(IFERROR(VLOOKUP(D69,Notas!B:B,1,FALSE),VLOOKUP(D69,Equivalencia!A:F,5,FALSE)),Notas!B:B,1,FALSE),VLOOKUP(D69,Equivalencia!A:H,8,FALSE))),""))</f>
        <v/>
      </c>
      <c r="H69" s="86" t="str">
        <f>IFERROR(IF($L$9="","",IFERROR(IFERROR(VLOOKUP(G69,Equivalencia!A:B,2,FALSE),VLOOKUP(G69,Equivalencia!E:F,2,FALSE)),VLOOKUP(G69,Equivalencia!H:I,2,FALSE))),"")</f>
        <v/>
      </c>
      <c r="I69" s="87"/>
      <c r="J69" s="108" t="str">
        <f t="shared" si="1"/>
        <v/>
      </c>
      <c r="K69" s="109"/>
      <c r="L69" s="110"/>
      <c r="M69" s="42"/>
    </row>
    <row r="70" spans="2:14" ht="13.8" customHeight="1" x14ac:dyDescent="0.3">
      <c r="B70" s="40"/>
      <c r="C70" s="112"/>
      <c r="D70" s="68" t="s">
        <v>105</v>
      </c>
      <c r="E70" s="79" t="s">
        <v>166</v>
      </c>
      <c r="F70" s="69"/>
      <c r="G70" s="70" t="str">
        <f>IF($F$8=" ","",IFERROR(IF($L$9="","",IFERROR(VLOOKUP(IFERROR(VLOOKUP(D70,Notas!B:B,1,FALSE),VLOOKUP(D70,Equivalencia!A:F,5,FALSE)),Notas!B:B,1,FALSE),VLOOKUP(D70,Equivalencia!A:H,8,FALSE))),""))</f>
        <v/>
      </c>
      <c r="H70" s="86" t="str">
        <f>IFERROR(IF($L$9="","",IFERROR(IFERROR(VLOOKUP(G70,Equivalencia!A:B,2,FALSE),VLOOKUP(G70,Equivalencia!E:F,2,FALSE)),VLOOKUP(G70,Equivalencia!H:I,2,FALSE))),"")</f>
        <v/>
      </c>
      <c r="I70" s="87"/>
      <c r="J70" s="108" t="str">
        <f t="shared" si="1"/>
        <v/>
      </c>
      <c r="K70" s="109"/>
      <c r="L70" s="110"/>
      <c r="M70" s="42"/>
    </row>
    <row r="71" spans="2:14" ht="13.8" customHeight="1" x14ac:dyDescent="0.3">
      <c r="B71" s="40"/>
      <c r="C71" s="112"/>
      <c r="D71" s="68" t="s">
        <v>106</v>
      </c>
      <c r="E71" s="79" t="s">
        <v>174</v>
      </c>
      <c r="F71" s="69"/>
      <c r="G71" s="70" t="str">
        <f>IF($F$8=" ","",IFERROR(IF($L$9="","",IFERROR(VLOOKUP(IFERROR(VLOOKUP(D71,Notas!B:B,1,FALSE),VLOOKUP(D71,Equivalencia!A:F,5,FALSE)),Notas!B:B,1,FALSE),VLOOKUP(D71,Equivalencia!A:H,8,FALSE))),""))</f>
        <v/>
      </c>
      <c r="H71" s="86" t="str">
        <f>IFERROR(IF($L$9="","",IFERROR(IFERROR(VLOOKUP(G71,Equivalencia!A:B,2,FALSE),VLOOKUP(G71,Equivalencia!E:F,2,FALSE)),VLOOKUP(G71,Equivalencia!H:I,2,FALSE))),"")</f>
        <v/>
      </c>
      <c r="I71" s="87"/>
      <c r="J71" s="108" t="str">
        <f t="shared" si="1"/>
        <v/>
      </c>
      <c r="K71" s="109"/>
      <c r="L71" s="110"/>
      <c r="M71" s="42"/>
    </row>
    <row r="72" spans="2:14" ht="13.8" customHeight="1" x14ac:dyDescent="0.3">
      <c r="B72" s="40"/>
      <c r="C72" s="112"/>
      <c r="D72" s="68" t="s">
        <v>180</v>
      </c>
      <c r="E72" s="79" t="s">
        <v>171</v>
      </c>
      <c r="F72" s="69"/>
      <c r="G72" s="70" t="str">
        <f>IF($F$8=" ","",IFERROR(IF($L$9="","",IFERROR(VLOOKUP(IFERROR(VLOOKUP(D72,Notas!B:B,1,FALSE),VLOOKUP(D72,Equivalencia!A:F,5,FALSE)),Notas!B:B,1,FALSE),VLOOKUP(D72,Equivalencia!A:H,8,FALSE))),""))</f>
        <v/>
      </c>
      <c r="H72" s="86" t="str">
        <f>IFERROR(IF($L$9="","",IFERROR(IFERROR(VLOOKUP(G72,Equivalencia!A:B,2,FALSE),VLOOKUP(G72,Equivalencia!E:F,2,FALSE)),VLOOKUP(G72,Equivalencia!H:I,2,FALSE))),"")</f>
        <v/>
      </c>
      <c r="I72" s="87"/>
      <c r="J72" s="108" t="str">
        <f t="shared" si="1"/>
        <v/>
      </c>
      <c r="K72" s="109"/>
      <c r="L72" s="110"/>
      <c r="M72" s="42"/>
    </row>
    <row r="73" spans="2:14" ht="13.8" customHeight="1" x14ac:dyDescent="0.3">
      <c r="B73" s="40"/>
      <c r="C73" s="112"/>
      <c r="D73" s="68" t="s">
        <v>120</v>
      </c>
      <c r="E73" s="79" t="s">
        <v>141</v>
      </c>
      <c r="F73" s="69" t="s">
        <v>0</v>
      </c>
      <c r="G73" s="70" t="str">
        <f>IF($F$8=" ","",IFERROR(IF($L$9="","",IFERROR(VLOOKUP(IFERROR(VLOOKUP(D73,Notas!B:B,1,FALSE),VLOOKUP(D73,Equivalencia!A:F,5,FALSE)),Notas!B:B,1,FALSE),VLOOKUP(D73,Equivalencia!A:H,8,FALSE))),""))</f>
        <v/>
      </c>
      <c r="H73" s="86" t="str">
        <f>IFERROR(IF($L$9="","",IFERROR(IFERROR(VLOOKUP(G73,Equivalencia!A:B,2,FALSE),VLOOKUP(G73,Equivalencia!E:F,2,FALSE)),VLOOKUP(G73,Equivalencia!H:I,2,FALSE))),"")</f>
        <v/>
      </c>
      <c r="I73" s="87"/>
      <c r="J73" s="108" t="str">
        <f t="shared" si="1"/>
        <v/>
      </c>
      <c r="K73" s="109"/>
      <c r="L73" s="110"/>
      <c r="M73" s="42"/>
    </row>
    <row r="74" spans="2:14" ht="13.8" customHeight="1" x14ac:dyDescent="0.3">
      <c r="B74" s="40"/>
      <c r="C74" s="112"/>
      <c r="D74" s="68" t="s">
        <v>113</v>
      </c>
      <c r="E74" s="79" t="s">
        <v>142</v>
      </c>
      <c r="F74" s="69"/>
      <c r="G74" s="70" t="str">
        <f>IF($F$8=" ","",IFERROR(IF($L$9="","",IFERROR(VLOOKUP(IFERROR(VLOOKUP(D74,Notas!B:B,1,FALSE),VLOOKUP(D74,Equivalencia!A:F,5,FALSE)),Notas!B:B,1,FALSE),VLOOKUP(D74,Equivalencia!A:H,8,FALSE))),""))</f>
        <v/>
      </c>
      <c r="H74" s="86" t="str">
        <f>IFERROR(IF($L$9="","",IFERROR(IFERROR(VLOOKUP(G74,Equivalencia!A:B,2,FALSE),VLOOKUP(G74,Equivalencia!E:F,2,FALSE)),VLOOKUP(G74,Equivalencia!H:I,2,FALSE))),"")</f>
        <v/>
      </c>
      <c r="I74" s="87"/>
      <c r="J74" s="108" t="str">
        <f t="shared" si="1"/>
        <v/>
      </c>
      <c r="K74" s="109"/>
      <c r="L74" s="110"/>
      <c r="M74" s="42"/>
    </row>
    <row r="75" spans="2:14" ht="13.8" customHeight="1" x14ac:dyDescent="0.3">
      <c r="B75" s="40"/>
      <c r="C75" s="112"/>
      <c r="D75" s="68" t="s">
        <v>107</v>
      </c>
      <c r="E75" s="79" t="s">
        <v>176</v>
      </c>
      <c r="F75" s="69"/>
      <c r="G75" s="70" t="str">
        <f>IF($F$8=" ","",IFERROR(IF($L$9="","",IFERROR(VLOOKUP(IFERROR(VLOOKUP(D75,Notas!B:B,1,FALSE),VLOOKUP(D75,Equivalencia!A:F,5,FALSE)),Notas!B:B,1,FALSE),VLOOKUP(D75,Equivalencia!A:H,8,FALSE))),""))</f>
        <v/>
      </c>
      <c r="H75" s="86" t="str">
        <f>IFERROR(IF($L$9="","",IFERROR(IFERROR(VLOOKUP(G75,Equivalencia!A:B,2,FALSE),VLOOKUP(G75,Equivalencia!E:F,2,FALSE)),VLOOKUP(G75,Equivalencia!H:I,2,FALSE))),"")</f>
        <v/>
      </c>
      <c r="I75" s="87"/>
      <c r="J75" s="108" t="str">
        <f t="shared" si="1"/>
        <v/>
      </c>
      <c r="K75" s="109"/>
      <c r="L75" s="110"/>
      <c r="M75" s="42"/>
    </row>
    <row r="76" spans="2:14" ht="13.8" customHeight="1" x14ac:dyDescent="0.3">
      <c r="B76" s="40"/>
      <c r="C76" s="113"/>
      <c r="D76" s="68" t="s">
        <v>110</v>
      </c>
      <c r="E76" s="79" t="s">
        <v>160</v>
      </c>
      <c r="F76" s="69"/>
      <c r="G76" s="70" t="str">
        <f>IF($F$8=" ","",IFERROR(IF($L$9="","",IFERROR(VLOOKUP(IFERROR(VLOOKUP(D76,Notas!B:B,1,FALSE),VLOOKUP(D76,Equivalencia!A:F,5,FALSE)),Notas!B:B,1,FALSE),VLOOKUP(D76,Equivalencia!A:H,8,FALSE))),""))</f>
        <v/>
      </c>
      <c r="H76" s="86" t="str">
        <f>IFERROR(IF($L$9="","",IFERROR(IFERROR(VLOOKUP(G76,Equivalencia!A:B,2,FALSE),VLOOKUP(G76,Equivalencia!E:F,2,FALSE)),VLOOKUP(G76,Equivalencia!H:I,2,FALSE))),"")</f>
        <v/>
      </c>
      <c r="I76" s="87"/>
      <c r="J76" s="108" t="str">
        <f t="shared" si="1"/>
        <v/>
      </c>
      <c r="K76" s="109"/>
      <c r="L76" s="110"/>
      <c r="M76" s="42"/>
    </row>
    <row r="77" spans="2:14" ht="9.4499999999999993" customHeight="1" x14ac:dyDescent="0.3">
      <c r="B77" s="40"/>
      <c r="C77" s="83"/>
      <c r="D77" s="21"/>
      <c r="E77" s="22"/>
      <c r="F77" s="22"/>
      <c r="G77" s="21"/>
      <c r="H77" s="22"/>
      <c r="I77" s="22"/>
      <c r="J77" s="23"/>
      <c r="K77" s="21"/>
      <c r="L77" s="21"/>
      <c r="M77" s="42"/>
      <c r="N77" s="33" t="s">
        <v>0</v>
      </c>
    </row>
    <row r="78" spans="2:14" ht="13.5" customHeight="1" x14ac:dyDescent="0.3">
      <c r="B78" s="40"/>
      <c r="C78" s="167" t="s">
        <v>124</v>
      </c>
      <c r="D78" s="168"/>
      <c r="E78" s="168"/>
      <c r="F78" s="168"/>
      <c r="G78" s="168"/>
      <c r="H78" s="168"/>
      <c r="I78" s="169"/>
      <c r="J78" s="161">
        <f>SUM(J12:J76)</f>
        <v>130</v>
      </c>
      <c r="K78" s="162"/>
      <c r="L78" s="163"/>
      <c r="M78" s="42"/>
    </row>
    <row r="79" spans="2:14" ht="13.5" customHeight="1" x14ac:dyDescent="0.3">
      <c r="B79" s="40"/>
      <c r="C79" s="175" t="s">
        <v>27</v>
      </c>
      <c r="D79" s="176"/>
      <c r="E79" s="176"/>
      <c r="F79" s="176"/>
      <c r="G79" s="176"/>
      <c r="H79" s="176"/>
      <c r="I79" s="177"/>
      <c r="J79" s="164">
        <f>IFERROR(SUMPRODUCT(J12:J61,K12:K61)/J78,"")</f>
        <v>0</v>
      </c>
      <c r="K79" s="165"/>
      <c r="L79" s="166"/>
      <c r="M79" s="42"/>
    </row>
    <row r="80" spans="2:14" ht="9.4499999999999993" customHeight="1" x14ac:dyDescent="0.3">
      <c r="B80" s="40"/>
      <c r="C80" s="82"/>
      <c r="D80" s="3"/>
      <c r="E80" s="4"/>
      <c r="F80" s="4"/>
      <c r="G80" s="3"/>
      <c r="H80" s="4"/>
      <c r="I80" s="4"/>
      <c r="J80" s="5"/>
      <c r="K80" s="3"/>
      <c r="L80" s="3"/>
      <c r="M80" s="42"/>
    </row>
    <row r="81" spans="2:13" ht="12.45" customHeight="1" x14ac:dyDescent="0.3">
      <c r="B81" s="40"/>
      <c r="C81" s="89" t="s">
        <v>50</v>
      </c>
      <c r="D81" s="53"/>
      <c r="E81" s="50"/>
      <c r="F81" s="50"/>
      <c r="G81" s="50"/>
      <c r="H81" s="50"/>
      <c r="I81" s="50"/>
      <c r="J81" s="50"/>
      <c r="K81" s="50"/>
      <c r="L81" s="51"/>
      <c r="M81" s="42"/>
    </row>
    <row r="82" spans="2:13" ht="33.75" customHeight="1" x14ac:dyDescent="0.3">
      <c r="B82" s="40"/>
      <c r="C82" s="172"/>
      <c r="D82" s="173"/>
      <c r="E82" s="173"/>
      <c r="F82" s="173"/>
      <c r="G82" s="173"/>
      <c r="H82" s="173"/>
      <c r="I82" s="173"/>
      <c r="J82" s="173"/>
      <c r="K82" s="173"/>
      <c r="L82" s="174"/>
      <c r="M82" s="42"/>
    </row>
    <row r="83" spans="2:13" ht="8.25" customHeight="1" x14ac:dyDescent="0.3">
      <c r="B83" s="40"/>
      <c r="C83" s="88"/>
      <c r="D83" s="54"/>
      <c r="E83" s="48"/>
      <c r="F83" s="48"/>
      <c r="G83" s="48"/>
      <c r="H83" s="48"/>
      <c r="I83" s="48"/>
      <c r="J83" s="48"/>
      <c r="K83" s="48"/>
      <c r="L83" s="48"/>
      <c r="M83" s="42"/>
    </row>
    <row r="84" spans="2:13" ht="14.4" customHeight="1" x14ac:dyDescent="0.3">
      <c r="B84" s="40"/>
      <c r="C84" s="82"/>
      <c r="D84" s="3"/>
      <c r="E84" s="171"/>
      <c r="F84" s="171"/>
      <c r="G84" s="171"/>
      <c r="H84" s="4"/>
      <c r="I84" s="171"/>
      <c r="J84" s="171"/>
      <c r="K84" s="171"/>
      <c r="L84" s="3"/>
      <c r="M84" s="42"/>
    </row>
    <row r="85" spans="2:13" ht="10.5" customHeight="1" x14ac:dyDescent="0.3">
      <c r="B85" s="40"/>
      <c r="C85" s="82"/>
      <c r="D85" s="3"/>
      <c r="E85" s="171"/>
      <c r="F85" s="171"/>
      <c r="G85" s="171"/>
      <c r="H85" s="4"/>
      <c r="I85" s="171"/>
      <c r="J85" s="171"/>
      <c r="K85" s="171"/>
      <c r="L85" s="3"/>
      <c r="M85" s="42"/>
    </row>
    <row r="86" spans="2:13" ht="12" customHeight="1" x14ac:dyDescent="0.3">
      <c r="B86" s="40"/>
      <c r="C86" s="82"/>
      <c r="D86" s="3"/>
      <c r="E86" s="171"/>
      <c r="F86" s="171"/>
      <c r="G86" s="171"/>
      <c r="H86" s="4"/>
      <c r="I86" s="171"/>
      <c r="J86" s="171"/>
      <c r="K86" s="171"/>
      <c r="L86" s="3"/>
      <c r="M86" s="42"/>
    </row>
    <row r="87" spans="2:13" ht="8.25" customHeight="1" x14ac:dyDescent="0.3">
      <c r="B87" s="40"/>
      <c r="C87" s="82"/>
      <c r="D87" s="3"/>
      <c r="E87" s="171"/>
      <c r="F87" s="171"/>
      <c r="G87" s="171"/>
      <c r="H87" s="4"/>
      <c r="I87" s="171"/>
      <c r="J87" s="171"/>
      <c r="K87" s="171"/>
      <c r="L87" s="3"/>
      <c r="M87" s="42"/>
    </row>
    <row r="88" spans="2:13" ht="2.25" customHeight="1" x14ac:dyDescent="0.3">
      <c r="B88" s="40"/>
      <c r="C88" s="82"/>
      <c r="D88" s="3"/>
      <c r="E88" s="31"/>
      <c r="F88" s="31"/>
      <c r="G88" s="31"/>
      <c r="H88" s="4"/>
      <c r="I88" s="31"/>
      <c r="J88" s="31"/>
      <c r="K88" s="31"/>
      <c r="L88" s="3"/>
      <c r="M88" s="42"/>
    </row>
    <row r="89" spans="2:13" ht="13.2" customHeight="1" x14ac:dyDescent="0.3">
      <c r="B89" s="40"/>
      <c r="C89" s="82"/>
      <c r="D89" s="3"/>
      <c r="E89" s="170"/>
      <c r="F89" s="170"/>
      <c r="G89" s="170"/>
      <c r="H89" s="32"/>
      <c r="I89" s="170"/>
      <c r="J89" s="170"/>
      <c r="K89" s="170"/>
      <c r="L89" s="3"/>
      <c r="M89" s="42"/>
    </row>
    <row r="90" spans="2:13" ht="11.7" customHeight="1" x14ac:dyDescent="0.3">
      <c r="B90" s="40"/>
      <c r="C90" s="82"/>
      <c r="D90" s="3"/>
      <c r="E90" s="160" t="s">
        <v>28</v>
      </c>
      <c r="F90" s="160"/>
      <c r="G90" s="160"/>
      <c r="H90" s="32"/>
      <c r="I90" s="160" t="s">
        <v>29</v>
      </c>
      <c r="J90" s="160"/>
      <c r="K90" s="160"/>
      <c r="L90" s="3"/>
      <c r="M90" s="42"/>
    </row>
    <row r="91" spans="2:13" x14ac:dyDescent="0.3">
      <c r="B91" s="40"/>
      <c r="C91" s="82"/>
      <c r="D91" s="3"/>
      <c r="E91" s="4"/>
      <c r="F91" s="4"/>
      <c r="G91" s="3"/>
      <c r="H91" s="4"/>
      <c r="I91" s="4"/>
      <c r="J91" s="5"/>
      <c r="K91" s="3"/>
      <c r="L91" s="3"/>
      <c r="M91" s="42"/>
    </row>
    <row r="92" spans="2:13" x14ac:dyDescent="0.3">
      <c r="B92" s="43"/>
      <c r="C92" s="84"/>
      <c r="D92" s="44"/>
      <c r="E92" s="45"/>
      <c r="F92" s="45"/>
      <c r="G92" s="44"/>
      <c r="H92" s="45"/>
      <c r="I92" s="45"/>
      <c r="J92" s="46"/>
      <c r="K92" s="44"/>
      <c r="L92" s="44"/>
      <c r="M92" s="47"/>
    </row>
  </sheetData>
  <sheetProtection algorithmName="SHA-512" hashValue="6cIoRXvdFMI6HjM91ueP3OxSV3xvy5ZbFNFyfsp455Hfb/FRDf/iZLqu/Mo6gaSgzaddKOO9KltNvQjdMwRNDA==" saltValue="021HcjuOwA3fIRnQN2KZXA==" spinCount="100000" sheet="1" objects="1" scenarios="1" selectLockedCells="1"/>
  <protectedRanges>
    <protectedRange sqref="C82 E89 I89" name="Editables"/>
  </protectedRanges>
  <sortState xmlns:xlrd2="http://schemas.microsoft.com/office/spreadsheetml/2017/richdata2" ref="D62:I76">
    <sortCondition ref="D62:D76"/>
  </sortState>
  <mergeCells count="49">
    <mergeCell ref="C11:D11"/>
    <mergeCell ref="E11:F11"/>
    <mergeCell ref="I90:K90"/>
    <mergeCell ref="J78:L78"/>
    <mergeCell ref="J79:L79"/>
    <mergeCell ref="C78:I78"/>
    <mergeCell ref="I89:K89"/>
    <mergeCell ref="I84:K87"/>
    <mergeCell ref="C82:L82"/>
    <mergeCell ref="C79:I79"/>
    <mergeCell ref="E89:G89"/>
    <mergeCell ref="E90:G90"/>
    <mergeCell ref="E84:G87"/>
    <mergeCell ref="C12:C17"/>
    <mergeCell ref="C18:C34"/>
    <mergeCell ref="C35:C39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J71:L71"/>
    <mergeCell ref="J72:L72"/>
    <mergeCell ref="J73:L73"/>
    <mergeCell ref="F9:I9"/>
    <mergeCell ref="H11:I11"/>
    <mergeCell ref="J74:L74"/>
    <mergeCell ref="J75:L75"/>
    <mergeCell ref="J76:L76"/>
    <mergeCell ref="C40:C54"/>
    <mergeCell ref="C55:C58"/>
    <mergeCell ref="C59:C61"/>
    <mergeCell ref="C62:C76"/>
    <mergeCell ref="J62:L62"/>
    <mergeCell ref="J63:L63"/>
    <mergeCell ref="J64:L64"/>
    <mergeCell ref="J65:L65"/>
    <mergeCell ref="J66:L66"/>
    <mergeCell ref="J67:L67"/>
    <mergeCell ref="J68:L68"/>
    <mergeCell ref="J69:L69"/>
    <mergeCell ref="J70:L70"/>
  </mergeCells>
  <phoneticPr fontId="4" type="noConversion"/>
  <conditionalFormatting sqref="F9">
    <cfRule type="cellIs" dxfId="11" priority="21" operator="equal">
      <formula>"-"</formula>
    </cfRule>
    <cfRule type="cellIs" dxfId="10" priority="22" operator="equal">
      <formula>"- "</formula>
    </cfRule>
  </conditionalFormatting>
  <conditionalFormatting sqref="L12:L61">
    <cfRule type="expression" dxfId="9" priority="18">
      <formula>AND(K12&lt;6,L12="")</formula>
    </cfRule>
  </conditionalFormatting>
  <conditionalFormatting sqref="J78:L79">
    <cfRule type="expression" dxfId="8" priority="17">
      <formula>$J$78&lt;&gt;130</formula>
    </cfRule>
  </conditionalFormatting>
  <conditionalFormatting sqref="K83:K93 K77:K81 K2:K61">
    <cfRule type="cellIs" dxfId="7" priority="14" operator="lessThan">
      <formula>6</formula>
    </cfRule>
  </conditionalFormatting>
  <conditionalFormatting sqref="L9">
    <cfRule type="expression" dxfId="6" priority="9">
      <formula>LEN($L$9)=4</formula>
    </cfRule>
  </conditionalFormatting>
  <conditionalFormatting sqref="D80:D81 D83:D1048576 D1:D77">
    <cfRule type="duplicateValues" dxfId="5" priority="44"/>
  </conditionalFormatting>
  <conditionalFormatting sqref="G1:G1048576">
    <cfRule type="cellIs" dxfId="4" priority="4" operator="equal">
      <formula>0</formula>
    </cfRule>
  </conditionalFormatting>
  <conditionalFormatting sqref="K77:K1048576 K1:K61">
    <cfRule type="containsErrors" dxfId="3" priority="45">
      <formula>ISERROR(K1)</formula>
    </cfRule>
  </conditionalFormatting>
  <conditionalFormatting sqref="J79:L79">
    <cfRule type="containsBlanks" dxfId="2" priority="2">
      <formula>LEN(TRIM(J79))=0</formula>
    </cfRule>
  </conditionalFormatting>
  <conditionalFormatting sqref="J62:J76">
    <cfRule type="containsText" dxfId="1" priority="1" operator="containsText" text="NO">
      <formula>NOT(ISERROR(SEARCH("NO",J62)))</formula>
    </cfRule>
  </conditionalFormatting>
  <dataValidations disablePrompts="1" count="6">
    <dataValidation allowBlank="1" showInputMessage="1" showErrorMessage="1" error="NO SE PUEDE MODIFICAR ESTA CELDA" sqref="C81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78:L79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workbookViewId="0">
      <selection activeCell="A154" sqref="A154"/>
    </sheetView>
  </sheetViews>
  <sheetFormatPr baseColWidth="10" defaultColWidth="11.44140625" defaultRowHeight="14.4" x14ac:dyDescent="0.3"/>
  <cols>
    <col min="3" max="3" width="19.33203125" bestFit="1" customWidth="1"/>
  </cols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  <c r="N18" s="1"/>
      <c r="R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I28" s="1"/>
      <c r="K28" s="1"/>
      <c r="N28" s="1"/>
      <c r="R28" s="1"/>
    </row>
    <row r="29" spans="5:21" x14ac:dyDescent="0.3">
      <c r="E29" s="1"/>
      <c r="F29" s="1"/>
      <c r="G29" s="1"/>
      <c r="I29" s="1"/>
      <c r="K29" s="1"/>
      <c r="N29" s="1"/>
      <c r="R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  <c r="M45" s="1"/>
      <c r="N45" s="1"/>
      <c r="R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  <c r="N52" s="1"/>
      <c r="R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  <c r="N63" s="1"/>
      <c r="R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  <c r="N69" s="1"/>
      <c r="R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J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  <c r="N87" s="1"/>
      <c r="R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H94" s="1"/>
      <c r="I94" s="1"/>
      <c r="K94" s="1"/>
      <c r="M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  <c r="N124" s="1"/>
      <c r="R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H135" s="1"/>
      <c r="I135" s="1"/>
      <c r="J135" s="1"/>
      <c r="K135" s="1"/>
      <c r="L135" s="1"/>
      <c r="N135" s="1"/>
      <c r="P135" s="1"/>
      <c r="R135" s="1"/>
      <c r="T135" s="1"/>
    </row>
    <row r="136" spans="5:20" x14ac:dyDescent="0.3">
      <c r="E136" s="1"/>
      <c r="F136" s="1"/>
      <c r="G136" s="1"/>
      <c r="H136" s="1"/>
      <c r="I136" s="1"/>
      <c r="J136" s="1"/>
      <c r="K136" s="1"/>
      <c r="L136" s="1"/>
      <c r="N136" s="1"/>
    </row>
    <row r="137" spans="5:20" x14ac:dyDescent="0.3">
      <c r="E137" s="1"/>
      <c r="F137" s="1"/>
      <c r="G137" s="1"/>
      <c r="I137" s="1"/>
      <c r="J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I139" s="1"/>
      <c r="K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  <c r="N202" s="1"/>
      <c r="R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  <c r="N219" s="1"/>
      <c r="R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G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  <c r="N236" s="1"/>
      <c r="R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5" spans="5:18" x14ac:dyDescent="0.3">
      <c r="G245" s="1"/>
      <c r="I245" s="1"/>
      <c r="K245" s="1"/>
    </row>
    <row r="246" spans="5:18" x14ac:dyDescent="0.3">
      <c r="E246" s="1"/>
      <c r="F246" s="1"/>
      <c r="G246" s="1"/>
      <c r="I246" s="1"/>
      <c r="K246" s="1"/>
    </row>
    <row r="247" spans="5:18" x14ac:dyDescent="0.3">
      <c r="E247" s="1"/>
      <c r="F247" s="1"/>
      <c r="G247" s="1"/>
      <c r="I247" s="1"/>
      <c r="K247" s="1"/>
    </row>
    <row r="248" spans="5:18" x14ac:dyDescent="0.3">
      <c r="E248" s="1"/>
      <c r="F248" s="1"/>
      <c r="G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G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G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G264" s="1"/>
      <c r="I264" s="1"/>
      <c r="K264" s="1"/>
    </row>
    <row r="265" spans="5:18" x14ac:dyDescent="0.3">
      <c r="E265" s="1"/>
      <c r="F265" s="1"/>
      <c r="G265" s="1"/>
      <c r="I265" s="1"/>
      <c r="K265" s="1"/>
      <c r="N265" s="1"/>
      <c r="R265" s="1"/>
    </row>
    <row r="266" spans="5:18" x14ac:dyDescent="0.3">
      <c r="E266" s="1"/>
      <c r="F266" s="1"/>
      <c r="G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E268" s="1"/>
      <c r="F268" s="1"/>
      <c r="G268" s="1"/>
      <c r="I268" s="1"/>
      <c r="K268" s="1"/>
      <c r="N268" s="1"/>
      <c r="R268" s="1"/>
    </row>
    <row r="269" spans="5:18" x14ac:dyDescent="0.3">
      <c r="E269" s="1"/>
      <c r="I269" s="1"/>
      <c r="K269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  <c r="N279" s="1"/>
      <c r="R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showRowColHeaders="0" zoomScaleNormal="100" workbookViewId="0">
      <selection activeCell="E6" sqref="E6"/>
    </sheetView>
  </sheetViews>
  <sheetFormatPr baseColWidth="10" defaultColWidth="11.109375" defaultRowHeight="14.4" x14ac:dyDescent="0.3"/>
  <cols>
    <col min="1" max="1" width="8.44140625" style="12" customWidth="1"/>
    <col min="2" max="2" width="5" style="12" hidden="1" customWidth="1"/>
    <col min="3" max="3" width="6.109375" style="12" hidden="1" customWidth="1"/>
    <col min="4" max="4" width="7.88671875" style="12" customWidth="1"/>
    <col min="5" max="5" width="44.88671875" style="12" customWidth="1"/>
    <col min="6" max="6" width="6.88671875" style="13" customWidth="1"/>
    <col min="7" max="7" width="2.5546875" style="12" customWidth="1"/>
    <col min="8" max="8" width="6.109375" style="12" hidden="1" customWidth="1"/>
    <col min="9" max="9" width="1.44140625" style="12" customWidth="1"/>
    <col min="10" max="16384" width="11.109375" style="12"/>
  </cols>
  <sheetData>
    <row r="1" spans="2:8" ht="37.5" customHeight="1" thickBot="1" x14ac:dyDescent="0.35"/>
    <row r="2" spans="2:8" ht="15" customHeight="1" thickBot="1" x14ac:dyDescent="0.35">
      <c r="B2" s="11"/>
      <c r="C2" s="11"/>
      <c r="D2" s="180" t="s">
        <v>47</v>
      </c>
      <c r="E2" s="181"/>
      <c r="F2" s="182"/>
      <c r="H2" s="11"/>
    </row>
    <row r="3" spans="2:8" ht="15" customHeight="1" thickBot="1" x14ac:dyDescent="0.35">
      <c r="B3" s="11"/>
      <c r="C3" s="11"/>
      <c r="D3" s="10" t="s">
        <v>30</v>
      </c>
      <c r="E3" s="85" t="s">
        <v>31</v>
      </c>
      <c r="F3" s="10" t="s">
        <v>32</v>
      </c>
      <c r="H3" s="11"/>
    </row>
    <row r="4" spans="2:8" ht="15" customHeight="1" x14ac:dyDescent="0.3">
      <c r="B4" s="11"/>
      <c r="C4" s="6" t="e">
        <f>D$2&amp;#REF!</f>
        <v>#REF!</v>
      </c>
      <c r="D4" s="14" t="s">
        <v>56</v>
      </c>
      <c r="E4" s="15" t="s">
        <v>57</v>
      </c>
      <c r="F4" s="14">
        <v>2</v>
      </c>
      <c r="H4" s="6" t="e">
        <f>#REF!&amp;#REF!</f>
        <v>#REF!</v>
      </c>
    </row>
    <row r="5" spans="2:8" ht="15" customHeight="1" x14ac:dyDescent="0.3">
      <c r="B5" s="11"/>
      <c r="C5" s="7" t="e">
        <f>D$2&amp;#REF!</f>
        <v>#REF!</v>
      </c>
      <c r="D5" s="14" t="s">
        <v>58</v>
      </c>
      <c r="E5" s="15" t="s">
        <v>59</v>
      </c>
      <c r="F5" s="14">
        <v>2</v>
      </c>
      <c r="H5" s="7" t="e">
        <f>#REF!&amp;#REF!</f>
        <v>#REF!</v>
      </c>
    </row>
    <row r="6" spans="2:8" ht="15" customHeight="1" x14ac:dyDescent="0.3">
      <c r="B6" s="11"/>
      <c r="C6" s="7" t="e">
        <f>D$2&amp;#REF!</f>
        <v>#REF!</v>
      </c>
      <c r="D6" s="14" t="s">
        <v>60</v>
      </c>
      <c r="E6" s="15" t="s">
        <v>61</v>
      </c>
      <c r="F6" s="14">
        <v>2</v>
      </c>
      <c r="H6" s="7" t="e">
        <f>#REF!&amp;#REF!</f>
        <v>#REF!</v>
      </c>
    </row>
    <row r="7" spans="2:8" ht="15" customHeight="1" x14ac:dyDescent="0.3">
      <c r="B7" s="11"/>
      <c r="C7" s="7" t="e">
        <f>D$2&amp;#REF!</f>
        <v>#REF!</v>
      </c>
      <c r="D7" s="14"/>
      <c r="E7" s="15"/>
      <c r="F7" s="14"/>
      <c r="H7" s="7" t="e">
        <f>#REF!&amp;#REF!</f>
        <v>#REF!</v>
      </c>
    </row>
    <row r="8" spans="2:8" ht="15" customHeight="1" x14ac:dyDescent="0.3">
      <c r="B8" s="11"/>
      <c r="C8" s="7" t="e">
        <f>D$2&amp;#REF!</f>
        <v>#REF!</v>
      </c>
      <c r="D8" s="14"/>
      <c r="E8" s="15"/>
      <c r="F8" s="14"/>
      <c r="H8" s="7" t="e">
        <f>#REF!&amp;#REF!</f>
        <v>#REF!</v>
      </c>
    </row>
    <row r="9" spans="2:8" ht="15" customHeight="1" x14ac:dyDescent="0.3">
      <c r="B9" s="11"/>
      <c r="C9" s="7" t="e">
        <f>D$2&amp;#REF!</f>
        <v>#REF!</v>
      </c>
      <c r="D9" s="14"/>
      <c r="E9" s="15"/>
      <c r="F9" s="14"/>
      <c r="H9" s="7" t="e">
        <f>#REF!&amp;#REF!</f>
        <v>#REF!</v>
      </c>
    </row>
    <row r="10" spans="2:8" ht="15" customHeight="1" x14ac:dyDescent="0.3">
      <c r="B10" s="11"/>
      <c r="C10" s="7" t="e">
        <f>D$2&amp;#REF!</f>
        <v>#REF!</v>
      </c>
      <c r="D10" s="14"/>
      <c r="E10" s="15"/>
      <c r="F10" s="14"/>
      <c r="H10" s="7" t="e">
        <f>#REF!&amp;#REF!</f>
        <v>#REF!</v>
      </c>
    </row>
    <row r="11" spans="2:8" ht="15" customHeight="1" x14ac:dyDescent="0.3">
      <c r="B11" s="11"/>
      <c r="C11" s="7" t="e">
        <f>D$2&amp;#REF!</f>
        <v>#REF!</v>
      </c>
      <c r="D11" s="14"/>
      <c r="E11" s="15"/>
      <c r="F11" s="14"/>
      <c r="H11" s="7" t="e">
        <f>#REF!&amp;#REF!</f>
        <v>#REF!</v>
      </c>
    </row>
    <row r="12" spans="2:8" ht="15" customHeight="1" x14ac:dyDescent="0.3">
      <c r="B12" s="11"/>
      <c r="C12" s="7" t="e">
        <f>D$2&amp;#REF!</f>
        <v>#REF!</v>
      </c>
      <c r="D12" s="14"/>
      <c r="E12" s="15"/>
      <c r="F12" s="14"/>
      <c r="H12" s="7" t="e">
        <f>#REF!&amp;#REF!</f>
        <v>#REF!</v>
      </c>
    </row>
    <row r="13" spans="2:8" ht="15" customHeight="1" thickBot="1" x14ac:dyDescent="0.35">
      <c r="B13" s="11"/>
      <c r="C13" s="8" t="e">
        <f>D$2&amp;#REF!</f>
        <v>#REF!</v>
      </c>
      <c r="D13" s="16"/>
      <c r="E13" s="17"/>
      <c r="F13" s="16"/>
      <c r="H13" s="8" t="e">
        <f>#REF!&amp;#REF!</f>
        <v>#REF!</v>
      </c>
    </row>
    <row r="14" spans="2:8" ht="15" customHeight="1" x14ac:dyDescent="0.3"/>
  </sheetData>
  <sheetProtection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K70"/>
  <sheetViews>
    <sheetView showGridLines="0" zoomScaleNormal="100" workbookViewId="0">
      <pane ySplit="1" topLeftCell="A56" activePane="bottomLeft" state="frozen"/>
      <selection pane="bottomLeft" activeCell="B56" sqref="B56"/>
    </sheetView>
  </sheetViews>
  <sheetFormatPr baseColWidth="10" defaultColWidth="11.109375" defaultRowHeight="14.4" x14ac:dyDescent="0.3"/>
  <cols>
    <col min="1" max="1" width="10.44140625" style="30" customWidth="1"/>
    <col min="2" max="2" width="30.88671875" style="27" customWidth="1"/>
    <col min="3" max="3" width="10.44140625" style="30" customWidth="1"/>
    <col min="4" max="4" width="1.88671875" style="30" customWidth="1"/>
    <col min="5" max="5" width="10.44140625" style="30" customWidth="1"/>
    <col min="6" max="6" width="30.88671875" style="27" customWidth="1"/>
    <col min="7" max="7" width="1.88671875" style="30" customWidth="1"/>
    <col min="8" max="8" width="10.44140625" style="30" customWidth="1"/>
    <col min="9" max="9" width="34.109375" style="27" customWidth="1"/>
    <col min="10" max="16384" width="11.109375" style="27"/>
  </cols>
  <sheetData>
    <row r="1" spans="1:11" x14ac:dyDescent="0.3">
      <c r="A1" s="103" t="s">
        <v>33</v>
      </c>
      <c r="B1" s="104" t="s">
        <v>31</v>
      </c>
      <c r="C1" s="103"/>
      <c r="D1" s="52"/>
      <c r="E1" s="9" t="s">
        <v>33</v>
      </c>
      <c r="F1" s="26" t="s">
        <v>31</v>
      </c>
      <c r="G1" s="52"/>
      <c r="H1" s="9" t="s">
        <v>33</v>
      </c>
      <c r="I1" s="26" t="s">
        <v>31</v>
      </c>
    </row>
    <row r="2" spans="1:11" x14ac:dyDescent="0.3">
      <c r="A2" s="105" t="s">
        <v>108</v>
      </c>
      <c r="B2" s="106" t="s">
        <v>116</v>
      </c>
      <c r="C2" s="105">
        <v>1</v>
      </c>
      <c r="D2" s="56"/>
      <c r="E2" s="28"/>
      <c r="F2" s="29"/>
      <c r="G2" s="56"/>
      <c r="H2" s="28"/>
      <c r="I2" s="29"/>
    </row>
    <row r="3" spans="1:11" x14ac:dyDescent="0.3">
      <c r="A3" s="105" t="s">
        <v>132</v>
      </c>
      <c r="B3" s="106" t="s">
        <v>67</v>
      </c>
      <c r="C3" s="105">
        <v>1</v>
      </c>
      <c r="D3" s="56"/>
      <c r="E3" s="28"/>
      <c r="F3" s="29"/>
      <c r="G3" s="56"/>
      <c r="H3" s="28"/>
      <c r="I3" s="29"/>
    </row>
    <row r="4" spans="1:11" x14ac:dyDescent="0.3">
      <c r="A4" s="105" t="s">
        <v>128</v>
      </c>
      <c r="B4" s="106" t="s">
        <v>79</v>
      </c>
      <c r="C4" s="105">
        <v>3</v>
      </c>
      <c r="D4" s="56"/>
      <c r="E4" s="28"/>
      <c r="F4" s="29"/>
      <c r="G4" s="56"/>
      <c r="H4" s="28"/>
      <c r="I4" s="29"/>
    </row>
    <row r="5" spans="1:11" x14ac:dyDescent="0.3">
      <c r="A5" s="105" t="s">
        <v>107</v>
      </c>
      <c r="B5" s="106" t="s">
        <v>176</v>
      </c>
      <c r="C5" s="105">
        <v>1</v>
      </c>
      <c r="D5" s="56"/>
      <c r="E5" s="28"/>
      <c r="F5" s="29"/>
      <c r="G5" s="56"/>
      <c r="H5" s="28"/>
      <c r="I5" s="29"/>
    </row>
    <row r="6" spans="1:11" x14ac:dyDescent="0.3">
      <c r="A6" s="105" t="s">
        <v>109</v>
      </c>
      <c r="B6" s="106" t="s">
        <v>117</v>
      </c>
      <c r="C6" s="105">
        <v>1</v>
      </c>
      <c r="D6" s="56"/>
      <c r="E6" s="28"/>
      <c r="F6" s="29"/>
      <c r="G6" s="56"/>
      <c r="H6" s="28"/>
      <c r="I6" s="29"/>
    </row>
    <row r="7" spans="1:11" x14ac:dyDescent="0.3">
      <c r="A7" s="105" t="s">
        <v>53</v>
      </c>
      <c r="B7" s="106" t="s">
        <v>54</v>
      </c>
      <c r="C7" s="105">
        <v>2</v>
      </c>
      <c r="D7" s="56"/>
      <c r="E7" s="28"/>
      <c r="F7" s="29"/>
      <c r="G7" s="56"/>
      <c r="H7" s="28"/>
      <c r="I7" s="29"/>
    </row>
    <row r="8" spans="1:11" x14ac:dyDescent="0.3">
      <c r="A8" s="105" t="s">
        <v>68</v>
      </c>
      <c r="B8" s="106" t="s">
        <v>163</v>
      </c>
      <c r="C8" s="105">
        <v>1</v>
      </c>
      <c r="D8" s="56"/>
      <c r="E8" s="28"/>
      <c r="F8" s="29"/>
      <c r="G8" s="56"/>
      <c r="H8" s="28"/>
      <c r="I8" s="29"/>
    </row>
    <row r="9" spans="1:11" x14ac:dyDescent="0.3">
      <c r="A9" s="105" t="s">
        <v>48</v>
      </c>
      <c r="B9" s="106" t="s">
        <v>49</v>
      </c>
      <c r="C9" s="105">
        <v>3</v>
      </c>
      <c r="D9" s="56"/>
      <c r="E9" s="28"/>
      <c r="F9" s="29"/>
      <c r="G9" s="56"/>
      <c r="H9" s="28"/>
      <c r="I9" s="29"/>
    </row>
    <row r="10" spans="1:11" x14ac:dyDescent="0.3">
      <c r="A10" s="105" t="s">
        <v>72</v>
      </c>
      <c r="B10" s="106" t="s">
        <v>147</v>
      </c>
      <c r="C10" s="105">
        <v>1</v>
      </c>
      <c r="D10" s="56"/>
      <c r="E10" s="28"/>
      <c r="F10" s="29"/>
      <c r="G10" s="56"/>
      <c r="H10" s="28"/>
      <c r="I10" s="29"/>
    </row>
    <row r="11" spans="1:11" x14ac:dyDescent="0.3">
      <c r="A11" s="105" t="s">
        <v>73</v>
      </c>
      <c r="B11" s="106" t="s">
        <v>143</v>
      </c>
      <c r="C11" s="105">
        <v>1</v>
      </c>
      <c r="D11" s="56"/>
      <c r="E11" s="28"/>
      <c r="F11" s="29"/>
      <c r="G11" s="56"/>
      <c r="H11" s="28"/>
      <c r="I11" s="29"/>
      <c r="K11" s="27" t="s">
        <v>121</v>
      </c>
    </row>
    <row r="12" spans="1:11" x14ac:dyDescent="0.3">
      <c r="A12" s="105" t="s">
        <v>119</v>
      </c>
      <c r="B12" s="106" t="s">
        <v>144</v>
      </c>
      <c r="C12" s="105">
        <v>1</v>
      </c>
      <c r="D12" s="56"/>
      <c r="E12" s="28"/>
      <c r="F12" s="29"/>
      <c r="G12" s="56"/>
      <c r="H12" s="28"/>
      <c r="I12" s="29"/>
      <c r="K12" s="27" t="s">
        <v>122</v>
      </c>
    </row>
    <row r="13" spans="1:11" x14ac:dyDescent="0.3">
      <c r="A13" s="105" t="s">
        <v>129</v>
      </c>
      <c r="B13" s="106" t="s">
        <v>97</v>
      </c>
      <c r="C13" s="105">
        <v>2</v>
      </c>
      <c r="D13" s="56"/>
      <c r="E13" s="28"/>
      <c r="F13" s="29"/>
      <c r="G13" s="56"/>
      <c r="H13" s="28"/>
      <c r="I13" s="29"/>
    </row>
    <row r="14" spans="1:11" x14ac:dyDescent="0.3">
      <c r="A14" s="105" t="s">
        <v>95</v>
      </c>
      <c r="B14" s="106" t="s">
        <v>148</v>
      </c>
      <c r="C14" s="105">
        <v>3</v>
      </c>
      <c r="D14" s="56"/>
      <c r="E14" s="28"/>
      <c r="F14" s="29"/>
      <c r="G14" s="56"/>
      <c r="H14" s="28"/>
      <c r="I14" s="29"/>
    </row>
    <row r="15" spans="1:11" x14ac:dyDescent="0.3">
      <c r="A15" s="105" t="s">
        <v>95</v>
      </c>
      <c r="B15" s="106" t="s">
        <v>148</v>
      </c>
      <c r="C15" s="105">
        <v>3</v>
      </c>
      <c r="D15" s="56"/>
      <c r="E15" s="28"/>
      <c r="F15" s="29"/>
      <c r="G15" s="56"/>
      <c r="H15" s="28"/>
      <c r="I15" s="29"/>
    </row>
    <row r="16" spans="1:11" x14ac:dyDescent="0.3">
      <c r="A16" s="105" t="s">
        <v>96</v>
      </c>
      <c r="B16" s="106" t="s">
        <v>153</v>
      </c>
      <c r="C16" s="105">
        <v>3</v>
      </c>
      <c r="D16" s="56"/>
      <c r="E16" s="28"/>
      <c r="F16" s="29"/>
      <c r="G16" s="56"/>
      <c r="H16" s="28"/>
      <c r="I16" s="29"/>
    </row>
    <row r="17" spans="1:9" x14ac:dyDescent="0.3">
      <c r="A17" s="105" t="s">
        <v>45</v>
      </c>
      <c r="B17" s="106" t="s">
        <v>21</v>
      </c>
      <c r="C17" s="105">
        <v>1</v>
      </c>
      <c r="D17" s="56"/>
      <c r="E17" s="28"/>
      <c r="F17" s="29"/>
      <c r="G17" s="56"/>
      <c r="H17" s="28"/>
      <c r="I17" s="29"/>
    </row>
    <row r="18" spans="1:9" x14ac:dyDescent="0.3">
      <c r="A18" s="105" t="s">
        <v>112</v>
      </c>
      <c r="B18" s="106" t="s">
        <v>154</v>
      </c>
      <c r="C18" s="105">
        <v>1</v>
      </c>
      <c r="D18" s="56"/>
      <c r="E18" s="28"/>
      <c r="F18" s="29"/>
      <c r="G18" s="56"/>
      <c r="H18" s="28"/>
      <c r="I18" s="29"/>
    </row>
    <row r="19" spans="1:9" x14ac:dyDescent="0.3">
      <c r="A19" s="105" t="s">
        <v>130</v>
      </c>
      <c r="B19" s="106" t="s">
        <v>155</v>
      </c>
      <c r="C19" s="105">
        <v>4</v>
      </c>
      <c r="D19" s="56"/>
      <c r="E19" s="28"/>
      <c r="F19" s="29"/>
      <c r="G19" s="56"/>
      <c r="H19" s="28"/>
      <c r="I19" s="29"/>
    </row>
    <row r="20" spans="1:9" x14ac:dyDescent="0.3">
      <c r="A20" s="105" t="s">
        <v>20</v>
      </c>
      <c r="B20" s="106" t="s">
        <v>159</v>
      </c>
      <c r="C20" s="105">
        <v>3</v>
      </c>
      <c r="D20" s="56"/>
      <c r="E20" s="28"/>
      <c r="F20" s="29"/>
      <c r="G20" s="56"/>
      <c r="H20" s="28"/>
      <c r="I20" s="29"/>
    </row>
    <row r="21" spans="1:9" x14ac:dyDescent="0.3">
      <c r="A21" s="105" t="s">
        <v>19</v>
      </c>
      <c r="B21" s="106" t="s">
        <v>34</v>
      </c>
      <c r="C21" s="105">
        <v>3</v>
      </c>
      <c r="D21" s="56"/>
      <c r="E21" s="28"/>
      <c r="F21" s="29"/>
      <c r="G21" s="56"/>
      <c r="H21" s="28"/>
      <c r="I21" s="29"/>
    </row>
    <row r="22" spans="1:9" x14ac:dyDescent="0.3">
      <c r="A22" s="105" t="s">
        <v>110</v>
      </c>
      <c r="B22" s="106" t="s">
        <v>160</v>
      </c>
      <c r="C22" s="105">
        <v>1</v>
      </c>
      <c r="D22" s="56"/>
      <c r="E22" s="28"/>
      <c r="F22" s="29"/>
      <c r="G22" s="56"/>
      <c r="H22" s="28"/>
      <c r="I22" s="29"/>
    </row>
    <row r="23" spans="1:9" x14ac:dyDescent="0.3">
      <c r="A23" s="105" t="s">
        <v>51</v>
      </c>
      <c r="B23" s="106" t="s">
        <v>52</v>
      </c>
      <c r="C23" s="105">
        <v>1</v>
      </c>
      <c r="D23" s="56"/>
      <c r="E23" s="28"/>
      <c r="F23" s="29"/>
      <c r="G23" s="56"/>
      <c r="H23" s="28"/>
      <c r="I23" s="29"/>
    </row>
    <row r="24" spans="1:9" x14ac:dyDescent="0.3">
      <c r="A24" s="105" t="s">
        <v>98</v>
      </c>
      <c r="B24" s="106" t="s">
        <v>138</v>
      </c>
      <c r="C24" s="105">
        <v>3</v>
      </c>
      <c r="D24" s="56"/>
      <c r="E24" s="28"/>
      <c r="F24" s="29"/>
      <c r="G24" s="56"/>
      <c r="H24" s="28"/>
      <c r="I24" s="29"/>
    </row>
    <row r="25" spans="1:9" x14ac:dyDescent="0.3">
      <c r="A25" s="105" t="s">
        <v>91</v>
      </c>
      <c r="B25" s="106" t="s">
        <v>149</v>
      </c>
      <c r="C25" s="105">
        <v>4</v>
      </c>
      <c r="D25" s="56"/>
      <c r="E25" s="28"/>
      <c r="F25" s="29"/>
      <c r="G25" s="56"/>
      <c r="H25" s="28"/>
      <c r="I25" s="29"/>
    </row>
    <row r="26" spans="1:9" x14ac:dyDescent="0.3">
      <c r="A26" s="105" t="s">
        <v>92</v>
      </c>
      <c r="B26" s="106" t="s">
        <v>145</v>
      </c>
      <c r="C26" s="105">
        <v>4</v>
      </c>
      <c r="D26" s="56"/>
      <c r="E26" s="28"/>
      <c r="F26" s="29"/>
      <c r="G26" s="56"/>
      <c r="H26" s="28"/>
      <c r="I26" s="29"/>
    </row>
    <row r="27" spans="1:9" x14ac:dyDescent="0.3">
      <c r="A27" s="105" t="s">
        <v>37</v>
      </c>
      <c r="B27" s="106" t="s">
        <v>38</v>
      </c>
      <c r="C27" s="105">
        <v>2</v>
      </c>
      <c r="D27" s="56"/>
      <c r="E27" s="28"/>
      <c r="F27" s="29"/>
      <c r="G27" s="56"/>
      <c r="H27" s="28"/>
      <c r="I27" s="29"/>
    </row>
    <row r="28" spans="1:9" x14ac:dyDescent="0.3">
      <c r="A28" s="105" t="s">
        <v>131</v>
      </c>
      <c r="B28" s="106" t="s">
        <v>84</v>
      </c>
      <c r="C28" s="105">
        <v>2</v>
      </c>
      <c r="D28" s="56"/>
      <c r="E28" s="28"/>
      <c r="F28" s="29"/>
      <c r="G28" s="56"/>
      <c r="H28" s="28"/>
      <c r="I28" s="29"/>
    </row>
    <row r="29" spans="1:9" x14ac:dyDescent="0.3">
      <c r="A29" s="105" t="s">
        <v>39</v>
      </c>
      <c r="B29" s="106" t="s">
        <v>85</v>
      </c>
      <c r="C29" s="105">
        <v>2</v>
      </c>
      <c r="D29" s="56"/>
      <c r="E29" s="28"/>
      <c r="F29" s="29"/>
      <c r="G29" s="56"/>
      <c r="H29" s="28"/>
      <c r="I29" s="29"/>
    </row>
    <row r="30" spans="1:9" x14ac:dyDescent="0.3">
      <c r="A30" s="105" t="s">
        <v>40</v>
      </c>
      <c r="B30" s="106" t="s">
        <v>86</v>
      </c>
      <c r="C30" s="105">
        <v>2</v>
      </c>
      <c r="D30" s="56"/>
      <c r="E30" s="28"/>
      <c r="F30" s="29"/>
      <c r="G30" s="56"/>
      <c r="H30" s="28"/>
      <c r="I30" s="29"/>
    </row>
    <row r="31" spans="1:9" x14ac:dyDescent="0.3">
      <c r="A31" s="105" t="s">
        <v>41</v>
      </c>
      <c r="B31" s="106" t="s">
        <v>42</v>
      </c>
      <c r="C31" s="105">
        <v>2</v>
      </c>
      <c r="D31" s="56"/>
      <c r="E31" s="28"/>
      <c r="F31" s="29"/>
      <c r="G31" s="56"/>
      <c r="H31" s="28"/>
      <c r="I31" s="29"/>
    </row>
    <row r="32" spans="1:9" x14ac:dyDescent="0.3">
      <c r="A32" s="105" t="s">
        <v>43</v>
      </c>
      <c r="B32" s="106" t="s">
        <v>44</v>
      </c>
      <c r="C32" s="105">
        <v>2</v>
      </c>
      <c r="D32" s="56"/>
      <c r="E32" s="28"/>
      <c r="F32" s="29"/>
      <c r="G32" s="56"/>
      <c r="H32" s="28"/>
      <c r="I32" s="29"/>
    </row>
    <row r="33" spans="1:9" x14ac:dyDescent="0.3">
      <c r="A33" s="105" t="s">
        <v>22</v>
      </c>
      <c r="B33" s="106" t="s">
        <v>161</v>
      </c>
      <c r="C33" s="105">
        <v>1</v>
      </c>
      <c r="D33" s="56"/>
      <c r="E33" s="28"/>
      <c r="F33" s="29"/>
      <c r="G33" s="56"/>
      <c r="H33" s="28"/>
      <c r="I33" s="29"/>
    </row>
    <row r="34" spans="1:9" x14ac:dyDescent="0.3">
      <c r="A34" s="105" t="s">
        <v>23</v>
      </c>
      <c r="B34" s="106" t="s">
        <v>156</v>
      </c>
      <c r="C34" s="105">
        <v>1</v>
      </c>
      <c r="D34" s="56"/>
      <c r="E34" s="28"/>
      <c r="F34" s="29"/>
      <c r="G34" s="56"/>
      <c r="H34" s="28"/>
      <c r="I34" s="29"/>
    </row>
    <row r="35" spans="1:9" x14ac:dyDescent="0.3">
      <c r="A35" s="105" t="s">
        <v>25</v>
      </c>
      <c r="B35" s="106" t="s">
        <v>26</v>
      </c>
      <c r="C35" s="105">
        <v>1</v>
      </c>
      <c r="D35" s="56"/>
      <c r="E35" s="28"/>
      <c r="F35" s="29"/>
      <c r="G35" s="56"/>
      <c r="H35" s="28"/>
      <c r="I35" s="29"/>
    </row>
    <row r="36" spans="1:9" x14ac:dyDescent="0.3">
      <c r="A36" s="105" t="s">
        <v>126</v>
      </c>
      <c r="B36" s="106" t="s">
        <v>102</v>
      </c>
      <c r="C36" s="105">
        <v>10</v>
      </c>
      <c r="D36" s="56"/>
      <c r="E36" s="28"/>
      <c r="F36" s="29"/>
      <c r="G36" s="56"/>
      <c r="H36" s="28"/>
      <c r="I36" s="29"/>
    </row>
    <row r="37" spans="1:9" x14ac:dyDescent="0.3">
      <c r="A37" s="105" t="s">
        <v>133</v>
      </c>
      <c r="B37" s="106" t="s">
        <v>169</v>
      </c>
      <c r="C37" s="105">
        <v>0</v>
      </c>
      <c r="D37" s="56"/>
      <c r="E37" s="28"/>
      <c r="F37" s="29"/>
      <c r="G37" s="56"/>
      <c r="H37" s="28"/>
      <c r="I37" s="29"/>
    </row>
    <row r="38" spans="1:9" x14ac:dyDescent="0.3">
      <c r="A38" s="105" t="s">
        <v>100</v>
      </c>
      <c r="B38" s="106" t="s">
        <v>139</v>
      </c>
      <c r="C38" s="105">
        <v>4</v>
      </c>
      <c r="D38" s="56"/>
      <c r="E38" s="28"/>
      <c r="F38" s="29"/>
      <c r="G38" s="56"/>
      <c r="H38" s="28"/>
      <c r="I38" s="29"/>
    </row>
    <row r="39" spans="1:9" x14ac:dyDescent="0.3">
      <c r="A39" s="105" t="s">
        <v>71</v>
      </c>
      <c r="B39" s="106" t="s">
        <v>164</v>
      </c>
      <c r="C39" s="105">
        <v>1</v>
      </c>
      <c r="D39" s="56"/>
      <c r="E39" s="28"/>
      <c r="F39" s="29"/>
      <c r="G39" s="56"/>
      <c r="H39" s="28"/>
      <c r="I39" s="29"/>
    </row>
    <row r="40" spans="1:9" x14ac:dyDescent="0.3">
      <c r="A40" s="105" t="s">
        <v>46</v>
      </c>
      <c r="B40" s="106" t="s">
        <v>78</v>
      </c>
      <c r="C40" s="105">
        <v>2</v>
      </c>
      <c r="D40" s="56"/>
      <c r="E40" s="28"/>
      <c r="F40" s="29"/>
      <c r="G40" s="56"/>
      <c r="H40" s="28"/>
      <c r="I40" s="29"/>
    </row>
    <row r="41" spans="1:9" x14ac:dyDescent="0.3">
      <c r="A41" s="105" t="s">
        <v>35</v>
      </c>
      <c r="B41" s="106" t="s">
        <v>36</v>
      </c>
      <c r="C41" s="105">
        <v>2</v>
      </c>
      <c r="D41" s="56"/>
      <c r="E41" s="28"/>
      <c r="F41" s="29"/>
      <c r="G41" s="56"/>
      <c r="H41" s="28"/>
      <c r="I41" s="29"/>
    </row>
    <row r="42" spans="1:9" x14ac:dyDescent="0.3">
      <c r="A42" s="105" t="s">
        <v>17</v>
      </c>
      <c r="B42" s="106" t="s">
        <v>170</v>
      </c>
      <c r="C42" s="105">
        <v>4</v>
      </c>
      <c r="D42" s="56"/>
      <c r="E42" s="28"/>
      <c r="F42" s="29"/>
      <c r="G42" s="56"/>
      <c r="H42" s="28"/>
      <c r="I42" s="29"/>
    </row>
    <row r="43" spans="1:9" x14ac:dyDescent="0.3">
      <c r="A43" s="105" t="s">
        <v>18</v>
      </c>
      <c r="B43" s="106" t="s">
        <v>165</v>
      </c>
      <c r="C43" s="105">
        <v>4</v>
      </c>
      <c r="D43" s="56"/>
      <c r="E43" s="28"/>
      <c r="F43" s="29"/>
      <c r="G43" s="56"/>
      <c r="H43" s="28"/>
      <c r="I43" s="29"/>
    </row>
    <row r="44" spans="1:9" x14ac:dyDescent="0.3">
      <c r="A44" s="105" t="s">
        <v>94</v>
      </c>
      <c r="B44" s="106" t="s">
        <v>150</v>
      </c>
      <c r="C44" s="105">
        <v>3</v>
      </c>
      <c r="D44" s="56"/>
      <c r="E44" s="28"/>
      <c r="F44" s="29"/>
      <c r="G44" s="56"/>
      <c r="H44" s="28"/>
      <c r="I44" s="29"/>
    </row>
    <row r="45" spans="1:9" x14ac:dyDescent="0.3">
      <c r="A45" s="105" t="s">
        <v>134</v>
      </c>
      <c r="B45" s="106" t="s">
        <v>171</v>
      </c>
      <c r="C45" s="105">
        <v>1</v>
      </c>
      <c r="D45" s="56"/>
      <c r="E45" s="28"/>
      <c r="F45" s="29"/>
      <c r="G45" s="56"/>
      <c r="H45" s="28"/>
      <c r="I45" s="29"/>
    </row>
    <row r="46" spans="1:9" x14ac:dyDescent="0.3">
      <c r="A46" s="105" t="s">
        <v>118</v>
      </c>
      <c r="B46" s="106" t="s">
        <v>146</v>
      </c>
      <c r="C46" s="105">
        <v>1</v>
      </c>
      <c r="D46" s="56"/>
      <c r="E46" s="28"/>
      <c r="F46" s="29"/>
      <c r="G46" s="56"/>
      <c r="H46" s="28"/>
      <c r="I46" s="29"/>
    </row>
    <row r="47" spans="1:9" x14ac:dyDescent="0.3">
      <c r="A47" s="105" t="s">
        <v>90</v>
      </c>
      <c r="B47" s="106" t="s">
        <v>151</v>
      </c>
      <c r="C47" s="105">
        <v>3</v>
      </c>
      <c r="D47" s="56"/>
      <c r="E47" s="28"/>
      <c r="F47" s="29"/>
      <c r="G47" s="56"/>
      <c r="H47" s="28"/>
      <c r="I47" s="29"/>
    </row>
    <row r="48" spans="1:9" x14ac:dyDescent="0.3">
      <c r="A48" s="105" t="s">
        <v>88</v>
      </c>
      <c r="B48" s="106" t="s">
        <v>162</v>
      </c>
      <c r="C48" s="105">
        <v>3</v>
      </c>
      <c r="D48" s="56"/>
      <c r="E48" s="28"/>
      <c r="F48" s="29"/>
      <c r="G48" s="56"/>
      <c r="H48" s="28"/>
      <c r="I48" s="29"/>
    </row>
    <row r="49" spans="1:9" x14ac:dyDescent="0.3">
      <c r="A49" s="105" t="s">
        <v>89</v>
      </c>
      <c r="B49" s="106" t="s">
        <v>157</v>
      </c>
      <c r="C49" s="105">
        <v>5</v>
      </c>
      <c r="D49" s="56"/>
      <c r="E49" s="28"/>
      <c r="F49" s="29"/>
      <c r="G49" s="56"/>
      <c r="H49" s="28"/>
      <c r="I49" s="29"/>
    </row>
    <row r="50" spans="1:9" x14ac:dyDescent="0.3">
      <c r="A50" s="105" t="s">
        <v>80</v>
      </c>
      <c r="B50" s="106" t="s">
        <v>140</v>
      </c>
      <c r="C50" s="105">
        <v>3</v>
      </c>
      <c r="D50" s="56"/>
      <c r="E50" s="28"/>
      <c r="F50" s="29"/>
      <c r="G50" s="56"/>
      <c r="H50" s="28"/>
      <c r="I50" s="29"/>
    </row>
    <row r="51" spans="1:9" x14ac:dyDescent="0.3">
      <c r="A51" s="105" t="s">
        <v>111</v>
      </c>
      <c r="B51" s="106" t="s">
        <v>158</v>
      </c>
      <c r="C51" s="105">
        <v>1</v>
      </c>
      <c r="D51" s="56"/>
      <c r="E51" s="28"/>
      <c r="F51" s="29"/>
      <c r="G51" s="56"/>
      <c r="H51" s="28"/>
      <c r="I51" s="29"/>
    </row>
    <row r="52" spans="1:9" x14ac:dyDescent="0.3">
      <c r="A52" s="105" t="s">
        <v>120</v>
      </c>
      <c r="B52" s="106" t="s">
        <v>141</v>
      </c>
      <c r="C52" s="105">
        <v>1</v>
      </c>
      <c r="D52" s="56"/>
      <c r="E52" s="28"/>
      <c r="F52" s="29"/>
      <c r="G52" s="56"/>
      <c r="H52" s="28"/>
      <c r="I52" s="29"/>
    </row>
    <row r="53" spans="1:9" x14ac:dyDescent="0.3">
      <c r="A53" s="105" t="s">
        <v>64</v>
      </c>
      <c r="B53" s="106" t="s">
        <v>65</v>
      </c>
      <c r="C53" s="105">
        <v>1</v>
      </c>
      <c r="D53" s="56"/>
      <c r="E53" s="28"/>
      <c r="F53" s="29"/>
      <c r="G53" s="56"/>
      <c r="H53" s="28"/>
      <c r="I53" s="29"/>
    </row>
    <row r="54" spans="1:9" x14ac:dyDescent="0.3">
      <c r="A54" s="105" t="s">
        <v>69</v>
      </c>
      <c r="B54" s="106" t="s">
        <v>70</v>
      </c>
      <c r="C54" s="105">
        <v>1</v>
      </c>
      <c r="D54" s="56"/>
      <c r="E54" s="28"/>
      <c r="F54" s="29"/>
      <c r="G54" s="56"/>
      <c r="H54" s="28"/>
      <c r="I54" s="29"/>
    </row>
    <row r="55" spans="1:9" x14ac:dyDescent="0.3">
      <c r="A55" s="105" t="s">
        <v>66</v>
      </c>
      <c r="B55" s="106" t="s">
        <v>172</v>
      </c>
      <c r="C55" s="105">
        <v>1</v>
      </c>
      <c r="D55" s="56"/>
      <c r="E55" s="28"/>
      <c r="F55" s="29"/>
      <c r="G55" s="56"/>
      <c r="H55" s="28"/>
      <c r="I55" s="29"/>
    </row>
    <row r="56" spans="1:9" x14ac:dyDescent="0.3">
      <c r="A56" s="105" t="s">
        <v>103</v>
      </c>
      <c r="B56" s="106" t="s">
        <v>136</v>
      </c>
      <c r="C56" s="105">
        <v>5</v>
      </c>
      <c r="D56" s="56"/>
      <c r="E56" s="28"/>
      <c r="F56" s="29"/>
      <c r="G56" s="56"/>
      <c r="H56" s="28"/>
      <c r="I56" s="29"/>
    </row>
    <row r="57" spans="1:9" x14ac:dyDescent="0.3">
      <c r="A57" s="105" t="s">
        <v>127</v>
      </c>
      <c r="B57" s="106" t="s">
        <v>137</v>
      </c>
      <c r="C57" s="105">
        <v>10</v>
      </c>
      <c r="D57" s="56"/>
      <c r="E57" s="28"/>
      <c r="F57" s="29"/>
      <c r="G57" s="56"/>
      <c r="H57" s="28"/>
      <c r="I57" s="29"/>
    </row>
    <row r="58" spans="1:9" x14ac:dyDescent="0.3">
      <c r="A58" s="105" t="s">
        <v>135</v>
      </c>
      <c r="B58" s="106" t="s">
        <v>173</v>
      </c>
      <c r="C58" s="105">
        <v>0</v>
      </c>
      <c r="D58" s="56"/>
      <c r="E58" s="28"/>
      <c r="F58" s="29"/>
      <c r="G58" s="56"/>
      <c r="H58" s="28"/>
      <c r="I58" s="29"/>
    </row>
    <row r="59" spans="1:9" x14ac:dyDescent="0.3">
      <c r="A59" s="105" t="s">
        <v>105</v>
      </c>
      <c r="B59" s="106" t="s">
        <v>166</v>
      </c>
      <c r="C59" s="105">
        <v>0</v>
      </c>
      <c r="D59" s="56"/>
      <c r="E59" s="28"/>
      <c r="F59" s="29"/>
      <c r="G59" s="56"/>
      <c r="H59" s="28"/>
      <c r="I59" s="29"/>
    </row>
    <row r="60" spans="1:9" x14ac:dyDescent="0.3">
      <c r="A60" s="105" t="s">
        <v>114</v>
      </c>
      <c r="B60" s="106" t="s">
        <v>115</v>
      </c>
      <c r="C60" s="105">
        <v>0</v>
      </c>
      <c r="D60" s="56"/>
      <c r="E60" s="28"/>
      <c r="F60" s="29"/>
      <c r="G60" s="56"/>
      <c r="H60" s="28"/>
      <c r="I60" s="29"/>
    </row>
    <row r="61" spans="1:9" x14ac:dyDescent="0.3">
      <c r="A61" s="105" t="s">
        <v>99</v>
      </c>
      <c r="B61" s="106" t="s">
        <v>152</v>
      </c>
      <c r="C61" s="105">
        <v>2</v>
      </c>
      <c r="D61" s="56"/>
      <c r="E61" s="28"/>
      <c r="F61" s="29"/>
      <c r="G61" s="56"/>
      <c r="H61" s="28"/>
      <c r="I61" s="29"/>
    </row>
    <row r="62" spans="1:9" x14ac:dyDescent="0.3">
      <c r="A62" s="105" t="s">
        <v>76</v>
      </c>
      <c r="B62" s="106" t="s">
        <v>77</v>
      </c>
      <c r="C62" s="105">
        <v>1</v>
      </c>
      <c r="D62" s="56"/>
      <c r="E62" s="28"/>
      <c r="F62" s="29"/>
      <c r="G62" s="56"/>
      <c r="H62" s="28"/>
      <c r="I62" s="29"/>
    </row>
    <row r="63" spans="1:9" x14ac:dyDescent="0.3">
      <c r="A63" s="105" t="s">
        <v>106</v>
      </c>
      <c r="B63" s="106" t="s">
        <v>174</v>
      </c>
      <c r="C63" s="105">
        <v>0</v>
      </c>
      <c r="D63" s="56"/>
      <c r="E63" s="28"/>
      <c r="F63" s="29"/>
      <c r="G63" s="56"/>
      <c r="H63" s="28"/>
      <c r="I63" s="29"/>
    </row>
    <row r="64" spans="1:9" x14ac:dyDescent="0.3">
      <c r="A64" s="105" t="s">
        <v>74</v>
      </c>
      <c r="B64" s="106" t="s">
        <v>75</v>
      </c>
      <c r="C64" s="105">
        <v>2</v>
      </c>
      <c r="D64" s="56"/>
      <c r="E64" s="28"/>
      <c r="F64" s="29"/>
      <c r="G64" s="56"/>
      <c r="H64" s="28"/>
      <c r="I64" s="29"/>
    </row>
    <row r="65" spans="1:9" x14ac:dyDescent="0.3">
      <c r="A65" s="105" t="s">
        <v>104</v>
      </c>
      <c r="B65" s="106" t="s">
        <v>167</v>
      </c>
      <c r="C65" s="105">
        <v>0</v>
      </c>
      <c r="D65" s="56"/>
      <c r="E65" s="28"/>
      <c r="F65" s="29"/>
      <c r="G65" s="56"/>
      <c r="H65" s="28"/>
      <c r="I65" s="29"/>
    </row>
    <row r="66" spans="1:9" x14ac:dyDescent="0.3">
      <c r="A66" s="105" t="s">
        <v>55</v>
      </c>
      <c r="B66" s="106" t="s">
        <v>168</v>
      </c>
      <c r="C66" s="105">
        <v>1</v>
      </c>
      <c r="D66" s="56"/>
      <c r="E66" s="28"/>
      <c r="F66" s="29"/>
      <c r="G66" s="56"/>
      <c r="H66" s="28"/>
      <c r="I66" s="29"/>
    </row>
    <row r="67" spans="1:9" x14ac:dyDescent="0.3">
      <c r="A67" s="105" t="s">
        <v>113</v>
      </c>
      <c r="B67" s="106" t="s">
        <v>142</v>
      </c>
      <c r="C67" s="105">
        <v>0</v>
      </c>
      <c r="D67" s="56"/>
      <c r="E67" s="28"/>
      <c r="F67" s="29"/>
      <c r="G67" s="56"/>
      <c r="H67" s="28"/>
      <c r="I67" s="29"/>
    </row>
    <row r="68" spans="1:9" x14ac:dyDescent="0.3">
      <c r="A68" s="105" t="s">
        <v>179</v>
      </c>
      <c r="B68" s="106" t="s">
        <v>87</v>
      </c>
      <c r="C68" s="105">
        <v>3</v>
      </c>
      <c r="D68" s="56"/>
      <c r="E68" s="28"/>
      <c r="F68" s="29"/>
      <c r="G68" s="56"/>
      <c r="H68" s="28"/>
      <c r="I68" s="29"/>
    </row>
    <row r="69" spans="1:9" x14ac:dyDescent="0.3">
      <c r="A69" s="105" t="s">
        <v>180</v>
      </c>
      <c r="B69" s="106" t="s">
        <v>171</v>
      </c>
      <c r="C69" s="105"/>
      <c r="D69" s="56"/>
      <c r="E69" s="28"/>
      <c r="F69" s="29"/>
      <c r="G69" s="56"/>
      <c r="H69" s="28"/>
      <c r="I69" s="29"/>
    </row>
    <row r="70" spans="1:9" x14ac:dyDescent="0.3">
      <c r="A70" s="105" t="s">
        <v>178</v>
      </c>
      <c r="B70" s="106" t="s">
        <v>175</v>
      </c>
      <c r="C70" s="105"/>
      <c r="D70" s="56"/>
      <c r="E70" s="28"/>
      <c r="F70" s="29"/>
      <c r="G70" s="56"/>
      <c r="H70" s="28"/>
      <c r="I70" s="29"/>
    </row>
  </sheetData>
  <sheetProtection selectLockedCells="1"/>
  <protectedRanges>
    <protectedRange sqref="D2:D3 G2:G3" name="Rango1_1"/>
  </protectedRanges>
  <autoFilter ref="A1:I67" xr:uid="{00000000-0009-0000-0000-000003000000}">
    <sortState xmlns:xlrd2="http://schemas.microsoft.com/office/spreadsheetml/2017/richdata2" ref="A2:I67">
      <sortCondition ref="B1:B67"/>
    </sortState>
  </autoFilter>
  <phoneticPr fontId="4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2025-09-16T16:00:43Z</cp:lastPrinted>
  <dcterms:created xsi:type="dcterms:W3CDTF">2024-08-29T16:28:19Z</dcterms:created>
  <dcterms:modified xsi:type="dcterms:W3CDTF">2026-04-20T20:43:32Z</dcterms:modified>
  <cp:category/>
  <cp:contentStatus/>
</cp:coreProperties>
</file>